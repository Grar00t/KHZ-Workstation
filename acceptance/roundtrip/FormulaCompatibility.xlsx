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ormulaTests" sheetId="1" state="visible" r:id="rId3"/>
    <sheet name="Data" sheetId="2" state="visible" r:id="rId4"/>
    <sheet name="Horizontal" sheetId="3" state="visible" r:id="rId5"/>
  </sheets>
  <definedNames>
    <definedName function="false" hidden="false" name="Values" vbProcedure="false">Data!$A$2:$A$6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<sst xmlns="http://schemas.openxmlformats.org/spreadsheetml/2006/main" count="151" uniqueCount="87">
  <si>
    <t xml:space="preserve">Function</t>
  </si>
  <si>
    <t xml:space="preserve">Formula</t>
  </si>
  <si>
    <t xml:space="preserve">Notes</t>
  </si>
  <si>
    <t xml:space="preserve">SUM</t>
  </si>
  <si>
    <t xml:space="preserve">SYNTHETIC TEST DATA</t>
  </si>
  <si>
    <t xml:space="preserve">SUMIF</t>
  </si>
  <si>
    <t xml:space="preserve">SUMIFS</t>
  </si>
  <si>
    <t xml:space="preserve">AVERAGE</t>
  </si>
  <si>
    <t xml:space="preserve">AVERAGEIF</t>
  </si>
  <si>
    <t xml:space="preserve">AVERAGEIFS</t>
  </si>
  <si>
    <t xml:space="preserve">MIN</t>
  </si>
  <si>
    <t xml:space="preserve">MAX</t>
  </si>
  <si>
    <t xml:space="preserve">COUNT</t>
  </si>
  <si>
    <t xml:space="preserve">COUNTA</t>
  </si>
  <si>
    <t xml:space="preserve">COUNTIF</t>
  </si>
  <si>
    <t xml:space="preserve">COUNTIFS</t>
  </si>
  <si>
    <t xml:space="preserve">ROUND</t>
  </si>
  <si>
    <t xml:space="preserve">ROUNDUP</t>
  </si>
  <si>
    <t xml:space="preserve">ROUNDDOWN</t>
  </si>
  <si>
    <t xml:space="preserve">SUBTOTAL</t>
  </si>
  <si>
    <t xml:space="preserve">IF</t>
  </si>
  <si>
    <t xml:space="preserve">IFS</t>
  </si>
  <si>
    <t xml:space="preserve">AND</t>
  </si>
  <si>
    <t xml:space="preserve">OR</t>
  </si>
  <si>
    <t xml:space="preserve">NOT</t>
  </si>
  <si>
    <t xml:space="preserve">IFERROR</t>
  </si>
  <si>
    <t xml:space="preserve">IFNA</t>
  </si>
  <si>
    <t xml:space="preserve">XLOOKUP</t>
  </si>
  <si>
    <t xml:space="preserve">VLOOKUP</t>
  </si>
  <si>
    <t xml:space="preserve">HLOOKUP</t>
  </si>
  <si>
    <t xml:space="preserve">INDEX</t>
  </si>
  <si>
    <t xml:space="preserve">MATCH</t>
  </si>
  <si>
    <t xml:space="preserve">XMATCH</t>
  </si>
  <si>
    <t xml:space="preserve">OFFSET</t>
  </si>
  <si>
    <t xml:space="preserve">INDIRECT</t>
  </si>
  <si>
    <t xml:space="preserve">LEFT</t>
  </si>
  <si>
    <t xml:space="preserve">RIGHT</t>
  </si>
  <si>
    <t xml:space="preserve">MID</t>
  </si>
  <si>
    <t xml:space="preserve">LEN</t>
  </si>
  <si>
    <t xml:space="preserve">TRIM</t>
  </si>
  <si>
    <t xml:space="preserve">CONCAT</t>
  </si>
  <si>
    <t xml:space="preserve">TEXTJOIN</t>
  </si>
  <si>
    <t xml:space="preserve">SUBSTITUTE</t>
  </si>
  <si>
    <t xml:space="preserve">FIND</t>
  </si>
  <si>
    <t xml:space="preserve">SEARCH</t>
  </si>
  <si>
    <t xml:space="preserve">TEXT</t>
  </si>
  <si>
    <t xml:space="preserve">DATE</t>
  </si>
  <si>
    <t xml:space="preserve">TODAY</t>
  </si>
  <si>
    <t xml:space="preserve">NOW</t>
  </si>
  <si>
    <t xml:space="preserve">YEAR</t>
  </si>
  <si>
    <t xml:space="preserve">MONTH</t>
  </si>
  <si>
    <t xml:space="preserve">DAY</t>
  </si>
  <si>
    <t xml:space="preserve">WORKDAY</t>
  </si>
  <si>
    <t xml:space="preserve">NETWORKDAYS</t>
  </si>
  <si>
    <t xml:space="preserve">FILTER</t>
  </si>
  <si>
    <t xml:space="preserve">SORT</t>
  </si>
  <si>
    <t xml:space="preserve">SORTBY</t>
  </si>
  <si>
    <t xml:space="preserve">UNIQUE</t>
  </si>
  <si>
    <t xml:space="preserve">SEQUENCE</t>
  </si>
  <si>
    <t xml:space="preserve">TAKE</t>
  </si>
  <si>
    <t xml:space="preserve">DROP</t>
  </si>
  <si>
    <t xml:space="preserve">HSTACK</t>
  </si>
  <si>
    <t xml:space="preserve">VSTACK</t>
  </si>
  <si>
    <t xml:space="preserve">RELATIVE_REF</t>
  </si>
  <si>
    <t xml:space="preserve">ABSOLUTE_REF</t>
  </si>
  <si>
    <t xml:space="preserve">MIXED_REF</t>
  </si>
  <si>
    <t xml:space="preserve">CROSS_SHEET_REF</t>
  </si>
  <si>
    <t xml:space="preserve">NAMED_RANGE</t>
  </si>
  <si>
    <t xml:space="preserve">Number</t>
  </si>
  <si>
    <t xml:space="preserve">Text</t>
  </si>
  <si>
    <t xml:space="preserve">Date</t>
  </si>
  <si>
    <t xml:space="preserve">Department</t>
  </si>
  <si>
    <t xml:space="preserve">Amount</t>
  </si>
  <si>
    <t xml:space="preserve">alpha</t>
  </si>
  <si>
    <t xml:space="preserve">OPS</t>
  </si>
  <si>
    <t xml:space="preserve">beta</t>
  </si>
  <si>
    <t xml:space="preserve">FIN</t>
  </si>
  <si>
    <t xml:space="preserve">gamma</t>
  </si>
  <si>
    <t xml:space="preserve">delta</t>
  </si>
  <si>
    <t xml:space="preserve">HR</t>
  </si>
  <si>
    <t xml:space="preserve">epsilon</t>
  </si>
  <si>
    <t xml:space="preserve">IT</t>
  </si>
  <si>
    <t xml:space="preserve">A</t>
  </si>
  <si>
    <t xml:space="preserve">B</t>
  </si>
  <si>
    <t xml:space="preserve">C</t>
  </si>
  <si>
    <t xml:space="preserve">D</t>
  </si>
  <si>
    <t xml:space="preserve">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</si>
</sst>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"/>
    <numFmt numFmtId="166" formatCode="mm/dd/yy\ hh:mm\ AM/PM"/>
    <numFmt numFmtId="167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n">
        <f aca="false">SUM(Data!A2:A6)</f>
        <v>15</v>
      </c>
      <c r="C2" s="0" t="s">
        <v>4</v>
      </c>
    </row>
    <row r="3" customFormat="false" ht="15" hidden="false" customHeight="false" outlineLevel="0" collapsed="false">
      <c r="A3" s="0" t="s">
        <v>5</v>
      </c>
      <c r="B3" s="0" t="n">
        <f aca="false">SUMIF(Data!A2:A6,"&gt;2",Data!A2:A6)</f>
        <v>12</v>
      </c>
      <c r="C3" s="0" t="s">
        <v>4</v>
      </c>
    </row>
    <row r="4" customFormat="false" ht="15" hidden="false" customHeight="false" outlineLevel="0" collapsed="false">
      <c r="A4" s="0" t="s">
        <v>6</v>
      </c>
      <c r="B4" s="0" t="n">
        <f aca="false">SUMIFS(Data!E2:E6,Data!D2:D6,"OPS")</f>
        <v>400</v>
      </c>
      <c r="C4" s="0" t="s">
        <v>4</v>
      </c>
    </row>
    <row r="5" customFormat="false" ht="15" hidden="false" customHeight="false" outlineLevel="0" collapsed="false">
      <c r="A5" s="0" t="s">
        <v>7</v>
      </c>
      <c r="B5" s="0" t="n">
        <f aca="false">AVERAGE(Data!A2:A6)</f>
        <v>3</v>
      </c>
      <c r="C5" s="0" t="s">
        <v>4</v>
      </c>
    </row>
    <row r="6" customFormat="false" ht="15" hidden="false" customHeight="false" outlineLevel="0" collapsed="false">
      <c r="A6" s="0" t="s">
        <v>8</v>
      </c>
      <c r="B6" s="0" t="n">
        <f aca="false">AVERAGEIF(Data!A2:A6,"&gt;2",Data!A2:A6)</f>
        <v>4</v>
      </c>
      <c r="C6" s="0" t="s">
        <v>4</v>
      </c>
    </row>
    <row r="7" customFormat="false" ht="15" hidden="false" customHeight="false" outlineLevel="0" collapsed="false">
      <c r="A7" s="0" t="s">
        <v>9</v>
      </c>
      <c r="B7" s="0" t="n">
        <f aca="false">AVERAGEIFS(Data!E2:E6,Data!D2:D6,"OPS")</f>
        <v>200</v>
      </c>
      <c r="C7" s="0" t="s">
        <v>4</v>
      </c>
    </row>
    <row r="8" customFormat="false" ht="15" hidden="false" customHeight="false" outlineLevel="0" collapsed="false">
      <c r="A8" s="0" t="s">
        <v>10</v>
      </c>
      <c r="B8" s="0" t="n">
        <f aca="false">MIN(Data!A2:A6)</f>
        <v>1</v>
      </c>
      <c r="C8" s="0" t="s">
        <v>4</v>
      </c>
    </row>
    <row r="9" customFormat="false" ht="15" hidden="false" customHeight="false" outlineLevel="0" collapsed="false">
      <c r="A9" s="0" t="s">
        <v>11</v>
      </c>
      <c r="B9" s="0" t="n">
        <f aca="false">MAX(Data!A2:A6)</f>
        <v>5</v>
      </c>
      <c r="C9" s="0" t="s">
        <v>4</v>
      </c>
    </row>
    <row r="10" customFormat="false" ht="15" hidden="false" customHeight="false" outlineLevel="0" collapsed="false">
      <c r="A10" s="0" t="s">
        <v>12</v>
      </c>
      <c r="B10" s="0" t="n">
        <f aca="false">COUNT(Data!A2:A6)</f>
        <v>5</v>
      </c>
      <c r="C10" s="0" t="s">
        <v>4</v>
      </c>
    </row>
    <row r="11" customFormat="false" ht="15" hidden="false" customHeight="false" outlineLevel="0" collapsed="false">
      <c r="A11" s="0" t="s">
        <v>13</v>
      </c>
      <c r="B11" s="0" t="n">
        <f aca="false">COUNTA(Data!B2:B6)</f>
        <v>5</v>
      </c>
      <c r="C11" s="0" t="s">
        <v>4</v>
      </c>
    </row>
    <row r="12" customFormat="false" ht="15" hidden="false" customHeight="false" outlineLevel="0" collapsed="false">
      <c r="A12" s="0" t="s">
        <v>14</v>
      </c>
      <c r="B12" s="0" t="n">
        <f aca="false">COUNTIF(Data!D2:D6,"OPS")</f>
        <v>2</v>
      </c>
      <c r="C12" s="0" t="s">
        <v>4</v>
      </c>
    </row>
    <row r="13" customFormat="false" ht="15" hidden="false" customHeight="false" outlineLevel="0" collapsed="false">
      <c r="A13" s="0" t="s">
        <v>15</v>
      </c>
      <c r="B13" s="0" t="n">
        <f aca="false">COUNTIFS(Data!D2:D6,"OPS",Data!A2:A6,"&gt;1")</f>
        <v>1</v>
      </c>
      <c r="C13" s="0" t="s">
        <v>4</v>
      </c>
    </row>
    <row r="14" customFormat="false" ht="15" hidden="false" customHeight="false" outlineLevel="0" collapsed="false">
      <c r="A14" s="0" t="s">
        <v>16</v>
      </c>
      <c r="B14" s="0" t="n">
        <f aca="false">ROUND(1.2345,2)</f>
        <v>1.23</v>
      </c>
      <c r="C14" s="0" t="s">
        <v>4</v>
      </c>
    </row>
    <row r="15" customFormat="false" ht="15" hidden="false" customHeight="false" outlineLevel="0" collapsed="false">
      <c r="A15" s="0" t="s">
        <v>17</v>
      </c>
      <c r="B15" s="0" t="n">
        <f aca="false">ROUNDUP(1.231,2)</f>
        <v>1.24</v>
      </c>
      <c r="C15" s="0" t="s">
        <v>4</v>
      </c>
    </row>
    <row r="16" customFormat="false" ht="15" hidden="false" customHeight="false" outlineLevel="0" collapsed="false">
      <c r="A16" s="0" t="s">
        <v>18</v>
      </c>
      <c r="B16" s="0" t="n">
        <f aca="false">ROUNDDOWN(1.239,2)</f>
        <v>1.23</v>
      </c>
      <c r="C16" s="0" t="s">
        <v>4</v>
      </c>
    </row>
    <row r="17" customFormat="false" ht="15" hidden="false" customHeight="false" outlineLevel="0" collapsed="false">
      <c r="A17" s="0" t="s">
        <v>19</v>
      </c>
      <c r="B17" s="0" t="n">
        <f aca="false">SUBTOTAL(9,Data!A2:A6)</f>
        <v>15</v>
      </c>
      <c r="C17" s="0" t="s">
        <v>4</v>
      </c>
    </row>
    <row r="18" customFormat="false" ht="15" hidden="false" customHeight="false" outlineLevel="0" collapsed="false">
      <c r="A18" s="0" t="s">
        <v>20</v>
      </c>
      <c r="B18" s="0" t="str">
        <f aca="false">IF(Data!A2=1,"yes","no")</f>
        <v>yes</v>
      </c>
      <c r="C18" s="0" t="s">
        <v>4</v>
      </c>
    </row>
    <row r="19" customFormat="false" ht="15" hidden="false" customHeight="false" outlineLevel="0" collapsed="false">
      <c r="A19" s="0" t="s">
        <v>21</v>
      </c>
      <c r="B19" s="0" t="str">
        <f aca="false">_xlfn.IFS(Data!A2=1,"one",Data!A2=2,"two",TRUE(),"other")</f>
        <v>one</v>
      </c>
      <c r="C19" s="0" t="s">
        <v>4</v>
      </c>
    </row>
    <row r="20" customFormat="false" ht="15" hidden="false" customHeight="false" outlineLevel="0" collapsed="false">
      <c r="A20" s="0" t="s">
        <v>22</v>
      </c>
      <c r="B20" s="1" t="b">
        <f aca="false">AND(Data!A2=1,Data!A3=2)</f>
        <v>1</v>
      </c>
      <c r="C20" s="0" t="s">
        <v>4</v>
      </c>
    </row>
    <row r="21" customFormat="false" ht="15" hidden="false" customHeight="false" outlineLevel="0" collapsed="false">
      <c r="A21" s="0" t="s">
        <v>23</v>
      </c>
      <c r="B21" s="1" t="b">
        <f aca="false">OR(Data!A2=9,Data!A3=2)</f>
        <v>1</v>
      </c>
      <c r="C21" s="0" t="s">
        <v>4</v>
      </c>
    </row>
    <row r="22" customFormat="false" ht="15" hidden="false" customHeight="false" outlineLevel="0" collapsed="false">
      <c r="A22" s="0" t="s">
        <v>24</v>
      </c>
      <c r="B22" s="1" t="b">
        <f aca="false">NOT(Data!A2=9)</f>
        <v>1</v>
      </c>
      <c r="C22" s="0" t="s">
        <v>4</v>
      </c>
    </row>
    <row r="23" customFormat="false" ht="15" hidden="false" customHeight="false" outlineLevel="0" collapsed="false">
      <c r="A23" s="0" t="s">
        <v>25</v>
      </c>
      <c r="B23" s="0" t="str">
        <f aca="false">IFERROR(1/0,"handled")</f>
        <v>handled</v>
      </c>
      <c r="C23" s="0" t="s">
        <v>4</v>
      </c>
    </row>
    <row r="24" customFormat="false" ht="15" hidden="false" customHeight="false" outlineLevel="0" collapsed="false">
      <c r="A24" s="0" t="s">
        <v>26</v>
      </c>
      <c r="B24" s="0" t="str">
        <f aca="false">_xlfn.IFNA(_xlfn.XLOOKUP("MISS",Data!D2:D6,Data!E2:E6),"na")</f>
        <v>na</v>
      </c>
      <c r="C24" s="0" t="s">
        <v>4</v>
      </c>
    </row>
    <row r="25" customFormat="false" ht="15" hidden="false" customHeight="false" outlineLevel="0" collapsed="false">
      <c r="A25" s="0" t="s">
        <v>27</v>
      </c>
      <c r="B25" s="0" t="n">
        <f aca="false">_xlfn.XLOOKUP("OPS",Data!D2:D6,Data!E2:E6,"missing")</f>
        <v>100</v>
      </c>
      <c r="C25" s="0" t="s">
        <v>4</v>
      </c>
    </row>
    <row r="26" customFormat="false" ht="15" hidden="false" customHeight="false" outlineLevel="0" collapsed="false">
      <c r="A26" s="0" t="s">
        <v>28</v>
      </c>
      <c r="B26" s="0" t="n">
        <f aca="false">VLOOKUP("OPS",Data!D2:E6,2,FALSE())</f>
        <v>100</v>
      </c>
      <c r="C26" s="0" t="s">
        <v>4</v>
      </c>
    </row>
    <row r="27" customFormat="false" ht="15" hidden="false" customHeight="false" outlineLevel="0" collapsed="false">
      <c r="A27" s="0" t="s">
        <v>29</v>
      </c>
      <c r="B27" s="0" t="n">
        <f aca="false">HLOOKUP("B",Horizontal!A1:E2,2,FALSE())</f>
        <v>20</v>
      </c>
      <c r="C27" s="0" t="s">
        <v>4</v>
      </c>
    </row>
    <row r="28" customFormat="false" ht="15" hidden="false" customHeight="false" outlineLevel="0" collapsed="false">
      <c r="A28" s="0" t="s">
        <v>30</v>
      </c>
      <c r="B28" s="0" t="n">
        <f aca="false">INDEX(Data!E2:E6,3)</f>
        <v>300</v>
      </c>
      <c r="C28" s="0" t="s">
        <v>4</v>
      </c>
    </row>
    <row r="29" customFormat="false" ht="15" hidden="false" customHeight="false" outlineLevel="0" collapsed="false">
      <c r="A29" s="0" t="s">
        <v>31</v>
      </c>
      <c r="B29" s="0" t="n">
        <f aca="false">MATCH("FIN",Data!D2:D6,0)</f>
        <v>2</v>
      </c>
      <c r="C29" s="0" t="s">
        <v>4</v>
      </c>
    </row>
    <row r="30" customFormat="false" ht="15" hidden="false" customHeight="false" outlineLevel="0" collapsed="false">
      <c r="A30" s="0" t="s">
        <v>32</v>
      </c>
      <c r="B30" s="0" t="n">
        <f aca="false">_xlfn.XMATCH("FIN",Data!D2:D6,0)</f>
        <v>2</v>
      </c>
      <c r="C30" s="0" t="s">
        <v>4</v>
      </c>
    </row>
    <row r="31" customFormat="false" ht="15" hidden="false" customHeight="false" outlineLevel="0" collapsed="false">
      <c r="A31" s="0" t="s">
        <v>33</v>
      </c>
      <c r="B31" s="0" t="n">
        <f aca="true">OFFSET(Data!A2,2,0)</f>
        <v>3</v>
      </c>
      <c r="C31" s="0" t="s">
        <v>4</v>
      </c>
    </row>
    <row r="32" customFormat="false" ht="15" hidden="false" customHeight="false" outlineLevel="0" collapsed="false">
      <c r="A32" s="0" t="s">
        <v>34</v>
      </c>
      <c r="B32" s="0" t="n">
        <f aca="true">INDIRECT("Data!A4")</f>
        <v>3</v>
      </c>
      <c r="C32" s="0" t="s">
        <v>4</v>
      </c>
    </row>
    <row r="33" customFormat="false" ht="15" hidden="false" customHeight="false" outlineLevel="0" collapsed="false">
      <c r="A33" s="0" t="s">
        <v>35</v>
      </c>
      <c r="B33" s="0" t="str">
        <f aca="false">LEFT("abcdef",2)</f>
        <v>ab</v>
      </c>
      <c r="C33" s="0" t="s">
        <v>4</v>
      </c>
    </row>
    <row r="34" customFormat="false" ht="15" hidden="false" customHeight="false" outlineLevel="0" collapsed="false">
      <c r="A34" s="0" t="s">
        <v>36</v>
      </c>
      <c r="B34" s="0" t="str">
        <f aca="false">RIGHT("abcdef",2)</f>
        <v>ef</v>
      </c>
      <c r="C34" s="0" t="s">
        <v>4</v>
      </c>
    </row>
    <row r="35" customFormat="false" ht="15" hidden="false" customHeight="false" outlineLevel="0" collapsed="false">
      <c r="A35" s="0" t="s">
        <v>37</v>
      </c>
      <c r="B35" s="0" t="str">
        <f aca="false">MID("abcdef",2,3)</f>
        <v>bcd</v>
      </c>
      <c r="C35" s="0" t="s">
        <v>4</v>
      </c>
    </row>
    <row r="36" customFormat="false" ht="15" hidden="false" customHeight="false" outlineLevel="0" collapsed="false">
      <c r="A36" s="0" t="s">
        <v>38</v>
      </c>
      <c r="B36" s="0" t="n">
        <f aca="false">LEN("abcdef")</f>
        <v>6</v>
      </c>
      <c r="C36" s="0" t="s">
        <v>4</v>
      </c>
    </row>
    <row r="37" customFormat="false" ht="15" hidden="false" customHeight="false" outlineLevel="0" collapsed="false">
      <c r="A37" s="0" t="s">
        <v>39</v>
      </c>
      <c r="B37" s="0" t="str">
        <f aca="false">TRIM("  a   b  ")</f>
        <v>a b</v>
      </c>
      <c r="C37" s="0" t="s">
        <v>4</v>
      </c>
    </row>
    <row r="38" customFormat="false" ht="15" hidden="false" customHeight="false" outlineLevel="0" collapsed="false">
      <c r="A38" s="0" t="s">
        <v>40</v>
      </c>
      <c r="B38" s="0" t="str">
        <f aca="false">_xlfn.CONCAT(Data!B2:B3)</f>
        <v>alphabeta</v>
      </c>
      <c r="C38" s="0" t="s">
        <v>4</v>
      </c>
    </row>
    <row r="39" customFormat="false" ht="15" hidden="false" customHeight="false" outlineLevel="0" collapsed="false">
      <c r="A39" s="0" t="s">
        <v>41</v>
      </c>
      <c r="B39" s="0" t="str">
        <f aca="false">_xlfn.TEXTJOIN(",",TRUE(),Data!B2:B4)</f>
        <v>alpha,beta,gamma</v>
      </c>
      <c r="C39" s="0" t="s">
        <v>4</v>
      </c>
    </row>
    <row r="40" customFormat="false" ht="15" hidden="false" customHeight="false" outlineLevel="0" collapsed="false">
      <c r="A40" s="0" t="s">
        <v>42</v>
      </c>
      <c r="B40" s="0" t="str">
        <f aca="false">SUBSTITUTE("abcabc","a","x")</f>
        <v>xbcxbc</v>
      </c>
      <c r="C40" s="0" t="s">
        <v>4</v>
      </c>
    </row>
    <row r="41" customFormat="false" ht="15" hidden="false" customHeight="false" outlineLevel="0" collapsed="false">
      <c r="A41" s="0" t="s">
        <v>43</v>
      </c>
      <c r="B41" s="0" t="n">
        <f aca="false">FIND("cd","abcdef")</f>
        <v>3</v>
      </c>
      <c r="C41" s="0" t="s">
        <v>4</v>
      </c>
    </row>
    <row r="42" customFormat="false" ht="15" hidden="false" customHeight="false" outlineLevel="0" collapsed="false">
      <c r="A42" s="0" t="s">
        <v>44</v>
      </c>
      <c r="B42" s="0" t="n">
        <f aca="false">SEARCH("CD","abcdef")</f>
        <v>3</v>
      </c>
      <c r="C42" s="0" t="s">
        <v>4</v>
      </c>
    </row>
    <row r="43" customFormat="false" ht="15" hidden="false" customHeight="false" outlineLevel="0" collapsed="false">
      <c r="A43" s="0" t="s">
        <v>45</v>
      </c>
      <c r="B43" s="0" t="str">
        <f aca="false">TEXT(1234.5,"0.00")</f>
        <v>1234.50</v>
      </c>
      <c r="C43" s="0" t="s">
        <v>4</v>
      </c>
    </row>
    <row r="44" customFormat="false" ht="15" hidden="false" customHeight="false" outlineLevel="0" collapsed="false">
      <c r="A44" s="0" t="s">
        <v>46</v>
      </c>
      <c r="B44" s="2" t="n">
        <f aca="false">DATE(2026,8,31)</f>
        <v>46265</v>
      </c>
      <c r="C44" s="0" t="s">
        <v>4</v>
      </c>
    </row>
    <row r="45" customFormat="false" ht="15" hidden="false" customHeight="false" outlineLevel="0" collapsed="false">
      <c r="A45" s="0" t="s">
        <v>47</v>
      </c>
      <c r="B45" s="2" t="n">
        <f aca="true">TODAY()</f>
        <v>46265</v>
      </c>
      <c r="C45" s="0" t="s">
        <v>4</v>
      </c>
    </row>
    <row r="46" customFormat="false" ht="15" hidden="false" customHeight="false" outlineLevel="0" collapsed="false">
      <c r="A46" s="0" t="s">
        <v>48</v>
      </c>
      <c r="B46" s="3" t="n">
        <f aca="true">NOW()</f>
        <v>46265.5674567228</v>
      </c>
      <c r="C46" s="0" t="s">
        <v>4</v>
      </c>
    </row>
    <row r="47" customFormat="false" ht="15" hidden="false" customHeight="false" outlineLevel="0" collapsed="false">
      <c r="A47" s="0" t="s">
        <v>49</v>
      </c>
      <c r="B47" s="0" t="n">
        <f aca="false">YEAR(Data!C2)</f>
        <v>2026</v>
      </c>
      <c r="C47" s="0" t="s">
        <v>4</v>
      </c>
    </row>
    <row r="48" customFormat="false" ht="15" hidden="false" customHeight="false" outlineLevel="0" collapsed="false">
      <c r="A48" s="0" t="s">
        <v>50</v>
      </c>
      <c r="B48" s="0" t="n">
        <f aca="false">MONTH(Data!C2)</f>
        <v>8</v>
      </c>
      <c r="C48" s="0" t="s">
        <v>4</v>
      </c>
    </row>
    <row r="49" customFormat="false" ht="15" hidden="false" customHeight="false" outlineLevel="0" collapsed="false">
      <c r="A49" s="0" t="s">
        <v>51</v>
      </c>
      <c r="B49" s="0" t="n">
        <f aca="false">DAY(Data!C2)</f>
        <v>27</v>
      </c>
      <c r="C49" s="0" t="s">
        <v>4</v>
      </c>
    </row>
    <row r="50" customFormat="false" ht="15" hidden="false" customHeight="false" outlineLevel="0" collapsed="false">
      <c r="A50" s="0" t="s">
        <v>52</v>
      </c>
      <c r="B50" s="0" t="n">
        <f aca="false">WORKDAY(Data!C2,5)</f>
        <v>46268</v>
      </c>
      <c r="C50" s="0" t="s">
        <v>4</v>
      </c>
    </row>
    <row r="51" customFormat="false" ht="15" hidden="false" customHeight="false" outlineLevel="0" collapsed="false">
      <c r="A51" s="0" t="s">
        <v>53</v>
      </c>
      <c r="B51" s="0" t="n">
        <f aca="false">NETWORKDAYS(Data!C2,Data!C6)</f>
        <v>3</v>
      </c>
      <c r="C51" s="0" t="s">
        <v>4</v>
      </c>
    </row>
    <row r="52" customFormat="false" ht="15" hidden="false" customHeight="false" outlineLevel="0" collapsed="false">
      <c r="A52" s="0" t="s">
        <v>54</v>
      </c>
      <c r="B52" s="0" t="n">
        <f aca="false">_xlfn._xlws.FILTER(Data!A2:A6,Data!A2:A6&gt;2)</f>
        <v>3</v>
      </c>
      <c r="C52" s="0" t="s">
        <v>4</v>
      </c>
    </row>
    <row r="53" customFormat="false" ht="15" hidden="false" customHeight="false" outlineLevel="0" collapsed="false">
      <c r="A53" s="0" t="s">
        <v>55</v>
      </c>
      <c r="B53" s="0" t="str">
        <f aca="false">_xlfn._xlws.SORT(Data!B2:B6)</f>
        <v>alpha</v>
      </c>
      <c r="C53" s="0" t="s">
        <v>4</v>
      </c>
    </row>
    <row r="54" customFormat="false" ht="15" hidden="false" customHeight="false" outlineLevel="0" collapsed="false">
      <c r="A54" s="0" t="s">
        <v>56</v>
      </c>
      <c r="B54" s="0" t="e">
        <f aca="false">_xlfn._xlws.sortby(Data!B2:B6,Data!A2:A6,-1)</f>
        <v>#NAME?</v>
      </c>
      <c r="C54" s="0" t="s">
        <v>4</v>
      </c>
    </row>
    <row r="55" customFormat="false" ht="15" hidden="false" customHeight="false" outlineLevel="0" collapsed="false">
      <c r="A55" s="0" t="s">
        <v>57</v>
      </c>
      <c r="B55" s="0" t="str">
        <f aca="false">_xlfn.UNIQUE(Data!D2:D6)</f>
        <v>OPS</v>
      </c>
      <c r="C55" s="0" t="s">
        <v>4</v>
      </c>
    </row>
    <row r="56" customFormat="false" ht="15" hidden="false" customHeight="false" outlineLevel="0" collapsed="false">
      <c r="A56" s="0" t="s">
        <v>58</v>
      </c>
      <c r="B56" s="0" t="n">
        <f aca="false">_xlfn.SEQUENCE(3,1,10,2)</f>
        <v>10</v>
      </c>
      <c r="C56" s="0" t="s">
        <v>4</v>
      </c>
    </row>
    <row r="57" customFormat="false" ht="15" hidden="false" customHeight="false" outlineLevel="0" collapsed="false">
      <c r="A57" s="0" t="s">
        <v>59</v>
      </c>
      <c r="B57" s="0" t="e">
        <f aca="false">_xlfn.take(Data!A2:A6,2)</f>
        <v>#NAME?</v>
      </c>
      <c r="C57" s="0" t="s">
        <v>4</v>
      </c>
    </row>
    <row r="58" customFormat="false" ht="15" hidden="false" customHeight="false" outlineLevel="0" collapsed="false">
      <c r="A58" s="0" t="s">
        <v>60</v>
      </c>
      <c r="B58" s="0" t="e">
        <f aca="false">_xlfn.drop(Data!A2:A6,2)</f>
        <v>#NAME?</v>
      </c>
      <c r="C58" s="0" t="s">
        <v>4</v>
      </c>
    </row>
    <row r="59" customFormat="false" ht="15" hidden="false" customHeight="false" outlineLevel="0" collapsed="false">
      <c r="A59" s="0" t="s">
        <v>61</v>
      </c>
      <c r="B59" s="0" t="e">
        <f aca="false">_xlfn.hstack(Data!A2:A3,Data!B2:B3)</f>
        <v>#NAME?</v>
      </c>
      <c r="C59" s="0" t="s">
        <v>4</v>
      </c>
    </row>
    <row r="60" customFormat="false" ht="15" hidden="false" customHeight="false" outlineLevel="0" collapsed="false">
      <c r="A60" s="0" t="s">
        <v>62</v>
      </c>
      <c r="B60" s="0" t="e">
        <f aca="false">_xlfn.vstack(Data!A2:A3,Data!A4:A5)</f>
        <v>#NAME?</v>
      </c>
      <c r="C60" s="0" t="s">
        <v>4</v>
      </c>
    </row>
    <row r="61" customFormat="false" ht="15" hidden="false" customHeight="false" outlineLevel="0" collapsed="false">
      <c r="A61" s="0" t="s">
        <v>63</v>
      </c>
      <c r="B61" s="0" t="n">
        <f aca="false">Data!A2+Data!A3</f>
        <v>3</v>
      </c>
      <c r="C61" s="0" t="s">
        <v>4</v>
      </c>
    </row>
    <row r="62" customFormat="false" ht="15" hidden="false" customHeight="false" outlineLevel="0" collapsed="false">
      <c r="A62" s="0" t="s">
        <v>64</v>
      </c>
      <c r="B62" s="0" t="n">
        <f aca="false">Data!$A$2+Data!$A$3</f>
        <v>3</v>
      </c>
      <c r="C62" s="0" t="s">
        <v>4</v>
      </c>
    </row>
    <row r="63" customFormat="false" ht="15" hidden="false" customHeight="false" outlineLevel="0" collapsed="false">
      <c r="A63" s="0" t="s">
        <v>65</v>
      </c>
      <c r="B63" s="0" t="n">
        <f aca="false">Data!$A2+Data!A$3</f>
        <v>3</v>
      </c>
      <c r="C63" s="0" t="s">
        <v>4</v>
      </c>
    </row>
    <row r="64" customFormat="false" ht="15" hidden="false" customHeight="false" outlineLevel="0" collapsed="false">
      <c r="A64" s="0" t="s">
        <v>66</v>
      </c>
      <c r="B64" s="0" t="n">
        <f aca="false">Data!E2</f>
        <v>100</v>
      </c>
      <c r="C64" s="0" t="s">
        <v>4</v>
      </c>
    </row>
    <row r="65" customFormat="false" ht="15" hidden="false" customHeight="false" outlineLevel="0" collapsed="false">
      <c r="A65" s="0" t="s">
        <v>67</v>
      </c>
      <c r="B65" s="0" t="n">
        <f aca="false">SUM(Values)</f>
        <v>15</v>
      </c>
      <c r="C65" s="0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68</v>
      </c>
      <c r="B1" s="0" t="s">
        <v>69</v>
      </c>
      <c r="C1" s="0" t="s">
        <v>70</v>
      </c>
      <c r="D1" s="0" t="s">
        <v>71</v>
      </c>
      <c r="E1" s="0" t="s">
        <v>72</v>
      </c>
    </row>
    <row r="2" customFormat="false" ht="15" hidden="false" customHeight="false" outlineLevel="0" collapsed="false">
      <c r="A2" s="0" t="n">
        <v>1</v>
      </c>
      <c r="B2" s="0" t="s">
        <v>73</v>
      </c>
      <c r="C2" s="4" t="n">
        <v>46261</v>
      </c>
      <c r="D2" s="0" t="s">
        <v>74</v>
      </c>
      <c r="E2" s="0" t="n">
        <v>100</v>
      </c>
    </row>
    <row r="3" customFormat="false" ht="15" hidden="false" customHeight="false" outlineLevel="0" collapsed="false">
      <c r="A3" s="0" t="n">
        <v>2</v>
      </c>
      <c r="B3" s="0" t="s">
        <v>75</v>
      </c>
      <c r="C3" s="4" t="n">
        <v>46262</v>
      </c>
      <c r="D3" s="0" t="s">
        <v>76</v>
      </c>
      <c r="E3" s="0" t="n">
        <v>200</v>
      </c>
    </row>
    <row r="4" customFormat="false" ht="15" hidden="false" customHeight="false" outlineLevel="0" collapsed="false">
      <c r="A4" s="0" t="n">
        <v>3</v>
      </c>
      <c r="B4" s="0" t="s">
        <v>77</v>
      </c>
      <c r="C4" s="4" t="n">
        <v>46263</v>
      </c>
      <c r="D4" s="0" t="s">
        <v>74</v>
      </c>
      <c r="E4" s="0" t="n">
        <v>300</v>
      </c>
    </row>
    <row r="5" customFormat="false" ht="15" hidden="false" customHeight="false" outlineLevel="0" collapsed="false">
      <c r="A5" s="0" t="n">
        <v>4</v>
      </c>
      <c r="B5" s="0" t="s">
        <v>78</v>
      </c>
      <c r="C5" s="4" t="n">
        <v>46264</v>
      </c>
      <c r="D5" s="0" t="s">
        <v>79</v>
      </c>
      <c r="E5" s="0" t="n">
        <v>400</v>
      </c>
    </row>
    <row r="6" customFormat="false" ht="15" hidden="false" customHeight="false" outlineLevel="0" collapsed="false">
      <c r="A6" s="0" t="n">
        <v>5</v>
      </c>
      <c r="B6" s="0" t="s">
        <v>80</v>
      </c>
      <c r="C6" s="4" t="n">
        <v>46265</v>
      </c>
      <c r="D6" s="0" t="s">
        <v>81</v>
      </c>
      <c r="E6" s="0" t="n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82</v>
      </c>
      <c r="B1" s="0" t="s">
        <v>83</v>
      </c>
      <c r="C1" s="0" t="s">
        <v>84</v>
      </c>
      <c r="D1" s="0" t="s">
        <v>85</v>
      </c>
      <c r="E1" s="0" t="s">
        <v>86</v>
      </c>
    </row>
    <row r="2" customFormat="false" ht="15" hidden="false" customHeight="false" outlineLevel="0" collapsed="false">
      <c r="A2" s="0" t="n">
        <v>10</v>
      </c>
      <c r="B2" s="0" t="n">
        <v>20</v>
      </c>
      <c r="C2" s="0" t="n">
        <v>30</v>
      </c>
      <c r="D2" s="0" t="n">
        <v>40</v>
      </c>
      <c r="E2" s="0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2026-08-31T13:37:06Z</dcterms:created>
  <dc:creator>openpyxl</dc:creator>
  <dc:description/>
  <dc:language>en-US</dc:language>
  <cp:lastModifiedBy/>
  <dcterms:modified xsi:type="dcterms:W3CDTF">2026-08-31T13:37:06Z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