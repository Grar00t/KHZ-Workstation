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Test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Horizontal" sheetId="3" state="visible" r:id="rId3"/>
  </sheets>
  <definedNames>
    <definedName name="Values">Data!$A$2:$A$6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Formula</t>
        </is>
      </c>
      <c r="C1" t="inlineStr">
        <is>
          <t>Notes</t>
        </is>
      </c>
    </row>
    <row r="2">
      <c r="A2" t="inlineStr">
        <is>
          <t>SUM</t>
        </is>
      </c>
      <c r="B2">
        <f>SUM(Data!A2:A6)</f>
        <v/>
      </c>
      <c r="C2" t="inlineStr">
        <is>
          <t>SYNTHETIC TEST DATA</t>
        </is>
      </c>
    </row>
    <row r="3">
      <c r="A3" t="inlineStr">
        <is>
          <t>SUMIF</t>
        </is>
      </c>
      <c r="B3">
        <f>SUMIF(Data!A2:A6,"&gt;2",Data!A2:A6)</f>
        <v/>
      </c>
      <c r="C3" t="inlineStr">
        <is>
          <t>SYNTHETIC TEST DATA</t>
        </is>
      </c>
    </row>
    <row r="4">
      <c r="A4" t="inlineStr">
        <is>
          <t>SUMIFS</t>
        </is>
      </c>
      <c r="B4">
        <f>SUMIFS(Data!E2:E6,Data!D2:D6,"OPS")</f>
        <v/>
      </c>
      <c r="C4" t="inlineStr">
        <is>
          <t>SYNTHETIC TEST DATA</t>
        </is>
      </c>
    </row>
    <row r="5">
      <c r="A5" t="inlineStr">
        <is>
          <t>AVERAGE</t>
        </is>
      </c>
      <c r="B5">
        <f>AVERAGE(Data!A2:A6)</f>
        <v/>
      </c>
      <c r="C5" t="inlineStr">
        <is>
          <t>SYNTHETIC TEST DATA</t>
        </is>
      </c>
    </row>
    <row r="6">
      <c r="A6" t="inlineStr">
        <is>
          <t>AVERAGEIF</t>
        </is>
      </c>
      <c r="B6">
        <f>AVERAGEIF(Data!A2:A6,"&gt;2",Data!A2:A6)</f>
        <v/>
      </c>
      <c r="C6" t="inlineStr">
        <is>
          <t>SYNTHETIC TEST DATA</t>
        </is>
      </c>
    </row>
    <row r="7">
      <c r="A7" t="inlineStr">
        <is>
          <t>AVERAGEIFS</t>
        </is>
      </c>
      <c r="B7">
        <f>AVERAGEIFS(Data!E2:E6,Data!D2:D6,"OPS")</f>
        <v/>
      </c>
      <c r="C7" t="inlineStr">
        <is>
          <t>SYNTHETIC TEST DATA</t>
        </is>
      </c>
    </row>
    <row r="8">
      <c r="A8" t="inlineStr">
        <is>
          <t>MIN</t>
        </is>
      </c>
      <c r="B8">
        <f>MIN(Data!A2:A6)</f>
        <v/>
      </c>
      <c r="C8" t="inlineStr">
        <is>
          <t>SYNTHETIC TEST DATA</t>
        </is>
      </c>
    </row>
    <row r="9">
      <c r="A9" t="inlineStr">
        <is>
          <t>MAX</t>
        </is>
      </c>
      <c r="B9">
        <f>MAX(Data!A2:A6)</f>
        <v/>
      </c>
      <c r="C9" t="inlineStr">
        <is>
          <t>SYNTHETIC TEST DATA</t>
        </is>
      </c>
    </row>
    <row r="10">
      <c r="A10" t="inlineStr">
        <is>
          <t>COUNT</t>
        </is>
      </c>
      <c r="B10">
        <f>COUNT(Data!A2:A6)</f>
        <v/>
      </c>
      <c r="C10" t="inlineStr">
        <is>
          <t>SYNTHETIC TEST DATA</t>
        </is>
      </c>
    </row>
    <row r="11">
      <c r="A11" t="inlineStr">
        <is>
          <t>COUNTA</t>
        </is>
      </c>
      <c r="B11">
        <f>COUNTA(Data!B2:B6)</f>
        <v/>
      </c>
      <c r="C11" t="inlineStr">
        <is>
          <t>SYNTHETIC TEST DATA</t>
        </is>
      </c>
    </row>
    <row r="12">
      <c r="A12" t="inlineStr">
        <is>
          <t>COUNTIF</t>
        </is>
      </c>
      <c r="B12">
        <f>COUNTIF(Data!D2:D6,"OPS")</f>
        <v/>
      </c>
      <c r="C12" t="inlineStr">
        <is>
          <t>SYNTHETIC TEST DATA</t>
        </is>
      </c>
    </row>
    <row r="13">
      <c r="A13" t="inlineStr">
        <is>
          <t>COUNTIFS</t>
        </is>
      </c>
      <c r="B13">
        <f>COUNTIFS(Data!D2:D6,"OPS",Data!A2:A6,"&gt;1")</f>
        <v/>
      </c>
      <c r="C13" t="inlineStr">
        <is>
          <t>SYNTHETIC TEST DATA</t>
        </is>
      </c>
    </row>
    <row r="14">
      <c r="A14" t="inlineStr">
        <is>
          <t>ROUND</t>
        </is>
      </c>
      <c r="B14">
        <f>ROUND(1.2345,2)</f>
        <v/>
      </c>
      <c r="C14" t="inlineStr">
        <is>
          <t>SYNTHETIC TEST DATA</t>
        </is>
      </c>
    </row>
    <row r="15">
      <c r="A15" t="inlineStr">
        <is>
          <t>ROUNDUP</t>
        </is>
      </c>
      <c r="B15">
        <f>ROUNDUP(1.231,2)</f>
        <v/>
      </c>
      <c r="C15" t="inlineStr">
        <is>
          <t>SYNTHETIC TEST DATA</t>
        </is>
      </c>
    </row>
    <row r="16">
      <c r="A16" t="inlineStr">
        <is>
          <t>ROUNDDOWN</t>
        </is>
      </c>
      <c r="B16">
        <f>ROUNDDOWN(1.239,2)</f>
        <v/>
      </c>
      <c r="C16" t="inlineStr">
        <is>
          <t>SYNTHETIC TEST DATA</t>
        </is>
      </c>
    </row>
    <row r="17">
      <c r="A17" t="inlineStr">
        <is>
          <t>SUBTOTAL</t>
        </is>
      </c>
      <c r="B17">
        <f>SUBTOTAL(9,Data!A2:A6)</f>
        <v/>
      </c>
      <c r="C17" t="inlineStr">
        <is>
          <t>SYNTHETIC TEST DATA</t>
        </is>
      </c>
    </row>
    <row r="18">
      <c r="A18" t="inlineStr">
        <is>
          <t>IF</t>
        </is>
      </c>
      <c r="B18">
        <f>IF(Data!A2=1,"yes","no")</f>
        <v/>
      </c>
      <c r="C18" t="inlineStr">
        <is>
          <t>SYNTHETIC TEST DATA</t>
        </is>
      </c>
    </row>
    <row r="19">
      <c r="A19" t="inlineStr">
        <is>
          <t>IFS</t>
        </is>
      </c>
      <c r="B19">
        <f>_xlfn.IFS(Data!A2=1,"one",Data!A2=2,"two",TRUE,"other")</f>
        <v/>
      </c>
      <c r="C19" t="inlineStr">
        <is>
          <t>SYNTHETIC TEST DATA</t>
        </is>
      </c>
    </row>
    <row r="20">
      <c r="A20" t="inlineStr">
        <is>
          <t>AND</t>
        </is>
      </c>
      <c r="B20">
        <f>AND(Data!A2=1,Data!A3=2)</f>
        <v/>
      </c>
      <c r="C20" t="inlineStr">
        <is>
          <t>SYNTHETIC TEST DATA</t>
        </is>
      </c>
    </row>
    <row r="21">
      <c r="A21" t="inlineStr">
        <is>
          <t>OR</t>
        </is>
      </c>
      <c r="B21">
        <f>OR(Data!A2=9,Data!A3=2)</f>
        <v/>
      </c>
      <c r="C21" t="inlineStr">
        <is>
          <t>SYNTHETIC TEST DATA</t>
        </is>
      </c>
    </row>
    <row r="22">
      <c r="A22" t="inlineStr">
        <is>
          <t>NOT</t>
        </is>
      </c>
      <c r="B22">
        <f>NOT(Data!A2=9)</f>
        <v/>
      </c>
      <c r="C22" t="inlineStr">
        <is>
          <t>SYNTHETIC TEST DATA</t>
        </is>
      </c>
    </row>
    <row r="23">
      <c r="A23" t="inlineStr">
        <is>
          <t>IFERROR</t>
        </is>
      </c>
      <c r="B23">
        <f>IFERROR(1/0,"handled")</f>
        <v/>
      </c>
      <c r="C23" t="inlineStr">
        <is>
          <t>SYNTHETIC TEST DATA</t>
        </is>
      </c>
    </row>
    <row r="24">
      <c r="A24" t="inlineStr">
        <is>
          <t>IFNA</t>
        </is>
      </c>
      <c r="B24">
        <f>_xlfn.IFNA(_xlfn.XLOOKUP("MISS",Data!D2:D6,Data!E2:E6),"na")</f>
        <v/>
      </c>
      <c r="C24" t="inlineStr">
        <is>
          <t>SYNTHETIC TEST DATA</t>
        </is>
      </c>
    </row>
    <row r="25">
      <c r="A25" t="inlineStr">
        <is>
          <t>XLOOKUP</t>
        </is>
      </c>
      <c r="B25">
        <f>_xlfn.XLOOKUP("OPS",Data!D2:D6,Data!E2:E6,"missing")</f>
        <v/>
      </c>
      <c r="C25" t="inlineStr">
        <is>
          <t>SYNTHETIC TEST DATA</t>
        </is>
      </c>
    </row>
    <row r="26">
      <c r="A26" t="inlineStr">
        <is>
          <t>VLOOKUP</t>
        </is>
      </c>
      <c r="B26">
        <f>VLOOKUP("OPS",Data!D2:E6,2,FALSE)</f>
        <v/>
      </c>
      <c r="C26" t="inlineStr">
        <is>
          <t>SYNTHETIC TEST DATA</t>
        </is>
      </c>
    </row>
    <row r="27">
      <c r="A27" t="inlineStr">
        <is>
          <t>HLOOKUP</t>
        </is>
      </c>
      <c r="B27">
        <f>HLOOKUP("B",Horizontal!A1:E2,2,FALSE)</f>
        <v/>
      </c>
      <c r="C27" t="inlineStr">
        <is>
          <t>SYNTHETIC TEST DATA</t>
        </is>
      </c>
    </row>
    <row r="28">
      <c r="A28" t="inlineStr">
        <is>
          <t>INDEX</t>
        </is>
      </c>
      <c r="B28">
        <f>INDEX(Data!E2:E6,3)</f>
        <v/>
      </c>
      <c r="C28" t="inlineStr">
        <is>
          <t>SYNTHETIC TEST DATA</t>
        </is>
      </c>
    </row>
    <row r="29">
      <c r="A29" t="inlineStr">
        <is>
          <t>MATCH</t>
        </is>
      </c>
      <c r="B29">
        <f>MATCH("FIN",Data!D2:D6,0)</f>
        <v/>
      </c>
      <c r="C29" t="inlineStr">
        <is>
          <t>SYNTHETIC TEST DATA</t>
        </is>
      </c>
    </row>
    <row r="30">
      <c r="A30" t="inlineStr">
        <is>
          <t>XMATCH</t>
        </is>
      </c>
      <c r="B30">
        <f>_xlfn.XMATCH("FIN",Data!D2:D6,0)</f>
        <v/>
      </c>
      <c r="C30" t="inlineStr">
        <is>
          <t>SYNTHETIC TEST DATA</t>
        </is>
      </c>
    </row>
    <row r="31">
      <c r="A31" t="inlineStr">
        <is>
          <t>OFFSET</t>
        </is>
      </c>
      <c r="B31">
        <f>OFFSET(Data!A2,2,0)</f>
        <v/>
      </c>
      <c r="C31" t="inlineStr">
        <is>
          <t>SYNTHETIC TEST DATA</t>
        </is>
      </c>
    </row>
    <row r="32">
      <c r="A32" t="inlineStr">
        <is>
          <t>INDIRECT</t>
        </is>
      </c>
      <c r="B32">
        <f>INDIRECT("Data!A4")</f>
        <v/>
      </c>
      <c r="C32" t="inlineStr">
        <is>
          <t>SYNTHETIC TEST DATA</t>
        </is>
      </c>
    </row>
    <row r="33">
      <c r="A33" t="inlineStr">
        <is>
          <t>LEFT</t>
        </is>
      </c>
      <c r="B33">
        <f>LEFT("abcdef",2)</f>
        <v/>
      </c>
      <c r="C33" t="inlineStr">
        <is>
          <t>SYNTHETIC TEST DATA</t>
        </is>
      </c>
    </row>
    <row r="34">
      <c r="A34" t="inlineStr">
        <is>
          <t>RIGHT</t>
        </is>
      </c>
      <c r="B34">
        <f>RIGHT("abcdef",2)</f>
        <v/>
      </c>
      <c r="C34" t="inlineStr">
        <is>
          <t>SYNTHETIC TEST DATA</t>
        </is>
      </c>
    </row>
    <row r="35">
      <c r="A35" t="inlineStr">
        <is>
          <t>MID</t>
        </is>
      </c>
      <c r="B35">
        <f>MID("abcdef",2,3)</f>
        <v/>
      </c>
      <c r="C35" t="inlineStr">
        <is>
          <t>SYNTHETIC TEST DATA</t>
        </is>
      </c>
    </row>
    <row r="36">
      <c r="A36" t="inlineStr">
        <is>
          <t>LEN</t>
        </is>
      </c>
      <c r="B36">
        <f>LEN("abcdef")</f>
        <v/>
      </c>
      <c r="C36" t="inlineStr">
        <is>
          <t>SYNTHETIC TEST DATA</t>
        </is>
      </c>
    </row>
    <row r="37">
      <c r="A37" t="inlineStr">
        <is>
          <t>TRIM</t>
        </is>
      </c>
      <c r="B37">
        <f>TRIM("  a   b  ")</f>
        <v/>
      </c>
      <c r="C37" t="inlineStr">
        <is>
          <t>SYNTHETIC TEST DATA</t>
        </is>
      </c>
    </row>
    <row r="38">
      <c r="A38" t="inlineStr">
        <is>
          <t>CONCAT</t>
        </is>
      </c>
      <c r="B38">
        <f>_xlfn.CONCAT(Data!B2:B3)</f>
        <v/>
      </c>
      <c r="C38" t="inlineStr">
        <is>
          <t>SYNTHETIC TEST DATA</t>
        </is>
      </c>
    </row>
    <row r="39">
      <c r="A39" t="inlineStr">
        <is>
          <t>TEXTJOIN</t>
        </is>
      </c>
      <c r="B39">
        <f>_xlfn.TEXTJOIN(",",TRUE,Data!B2:B4)</f>
        <v/>
      </c>
      <c r="C39" t="inlineStr">
        <is>
          <t>SYNTHETIC TEST DATA</t>
        </is>
      </c>
    </row>
    <row r="40">
      <c r="A40" t="inlineStr">
        <is>
          <t>SUBSTITUTE</t>
        </is>
      </c>
      <c r="B40">
        <f>SUBSTITUTE("abcabc","a","x")</f>
        <v/>
      </c>
      <c r="C40" t="inlineStr">
        <is>
          <t>SYNTHETIC TEST DATA</t>
        </is>
      </c>
    </row>
    <row r="41">
      <c r="A41" t="inlineStr">
        <is>
          <t>FIND</t>
        </is>
      </c>
      <c r="B41">
        <f>FIND("cd","abcdef")</f>
        <v/>
      </c>
      <c r="C41" t="inlineStr">
        <is>
          <t>SYNTHETIC TEST DATA</t>
        </is>
      </c>
    </row>
    <row r="42">
      <c r="A42" t="inlineStr">
        <is>
          <t>SEARCH</t>
        </is>
      </c>
      <c r="B42">
        <f>SEARCH("CD","abcdef")</f>
        <v/>
      </c>
      <c r="C42" t="inlineStr">
        <is>
          <t>SYNTHETIC TEST DATA</t>
        </is>
      </c>
    </row>
    <row r="43">
      <c r="A43" t="inlineStr">
        <is>
          <t>TEXT</t>
        </is>
      </c>
      <c r="B43">
        <f>TEXT(1234.5,"0.00")</f>
        <v/>
      </c>
      <c r="C43" t="inlineStr">
        <is>
          <t>SYNTHETIC TEST DATA</t>
        </is>
      </c>
    </row>
    <row r="44">
      <c r="A44" t="inlineStr">
        <is>
          <t>DATE</t>
        </is>
      </c>
      <c r="B44">
        <f>DATE(2026,8,31)</f>
        <v/>
      </c>
      <c r="C44" t="inlineStr">
        <is>
          <t>SYNTHETIC TEST DATA</t>
        </is>
      </c>
    </row>
    <row r="45">
      <c r="A45" t="inlineStr">
        <is>
          <t>TODAY</t>
        </is>
      </c>
      <c r="B45">
        <f>TODAY()</f>
        <v/>
      </c>
      <c r="C45" t="inlineStr">
        <is>
          <t>SYNTHETIC TEST DATA</t>
        </is>
      </c>
    </row>
    <row r="46">
      <c r="A46" t="inlineStr">
        <is>
          <t>NOW</t>
        </is>
      </c>
      <c r="B46">
        <f>NOW()</f>
        <v/>
      </c>
      <c r="C46" t="inlineStr">
        <is>
          <t>SYNTHETIC TEST DATA</t>
        </is>
      </c>
    </row>
    <row r="47">
      <c r="A47" t="inlineStr">
        <is>
          <t>YEAR</t>
        </is>
      </c>
      <c r="B47">
        <f>YEAR(Data!C2)</f>
        <v/>
      </c>
      <c r="C47" t="inlineStr">
        <is>
          <t>SYNTHETIC TEST DATA</t>
        </is>
      </c>
    </row>
    <row r="48">
      <c r="A48" t="inlineStr">
        <is>
          <t>MONTH</t>
        </is>
      </c>
      <c r="B48">
        <f>MONTH(Data!C2)</f>
        <v/>
      </c>
      <c r="C48" t="inlineStr">
        <is>
          <t>SYNTHETIC TEST DATA</t>
        </is>
      </c>
    </row>
    <row r="49">
      <c r="A49" t="inlineStr">
        <is>
          <t>DAY</t>
        </is>
      </c>
      <c r="B49">
        <f>DAY(Data!C2)</f>
        <v/>
      </c>
      <c r="C49" t="inlineStr">
        <is>
          <t>SYNTHETIC TEST DATA</t>
        </is>
      </c>
    </row>
    <row r="50">
      <c r="A50" t="inlineStr">
        <is>
          <t>WORKDAY</t>
        </is>
      </c>
      <c r="B50">
        <f>WORKDAY(Data!C2,5)</f>
        <v/>
      </c>
      <c r="C50" t="inlineStr">
        <is>
          <t>SYNTHETIC TEST DATA</t>
        </is>
      </c>
    </row>
    <row r="51">
      <c r="A51" t="inlineStr">
        <is>
          <t>NETWORKDAYS</t>
        </is>
      </c>
      <c r="B51">
        <f>NETWORKDAYS(Data!C2,Data!C6)</f>
        <v/>
      </c>
      <c r="C51" t="inlineStr">
        <is>
          <t>SYNTHETIC TEST DATA</t>
        </is>
      </c>
    </row>
    <row r="52">
      <c r="A52" t="inlineStr">
        <is>
          <t>FILTER</t>
        </is>
      </c>
      <c r="B52">
        <f>_xlfn._xlws.FILTER(Data!A2:A6,Data!A2:A6&gt;2)</f>
        <v/>
      </c>
      <c r="C52" t="inlineStr">
        <is>
          <t>SYNTHETIC TEST DATA</t>
        </is>
      </c>
    </row>
    <row r="53">
      <c r="A53" t="inlineStr">
        <is>
          <t>SORT</t>
        </is>
      </c>
      <c r="B53">
        <f>_xlfn._xlws.SORT(Data!B2:B6)</f>
        <v/>
      </c>
      <c r="C53" t="inlineStr">
        <is>
          <t>SYNTHETIC TEST DATA</t>
        </is>
      </c>
    </row>
    <row r="54">
      <c r="A54" t="inlineStr">
        <is>
          <t>SORTBY</t>
        </is>
      </c>
      <c r="B54">
        <f>_xlfn._xlws.SORTBY(Data!B2:B6,Data!A2:A6,-1)</f>
        <v/>
      </c>
      <c r="C54" t="inlineStr">
        <is>
          <t>SYNTHETIC TEST DATA</t>
        </is>
      </c>
    </row>
    <row r="55">
      <c r="A55" t="inlineStr">
        <is>
          <t>UNIQUE</t>
        </is>
      </c>
      <c r="B55">
        <f>_xlfn.UNIQUE(Data!D2:D6)</f>
        <v/>
      </c>
      <c r="C55" t="inlineStr">
        <is>
          <t>SYNTHETIC TEST DATA</t>
        </is>
      </c>
    </row>
    <row r="56">
      <c r="A56" t="inlineStr">
        <is>
          <t>SEQUENCE</t>
        </is>
      </c>
      <c r="B56">
        <f>_xlfn.SEQUENCE(3,1,10,2)</f>
        <v/>
      </c>
      <c r="C56" t="inlineStr">
        <is>
          <t>SYNTHETIC TEST DATA</t>
        </is>
      </c>
    </row>
    <row r="57">
      <c r="A57" t="inlineStr">
        <is>
          <t>TAKE</t>
        </is>
      </c>
      <c r="B57">
        <f>_xlfn.TAKE(Data!A2:A6,2)</f>
        <v/>
      </c>
      <c r="C57" t="inlineStr">
        <is>
          <t>SYNTHETIC TEST DATA</t>
        </is>
      </c>
    </row>
    <row r="58">
      <c r="A58" t="inlineStr">
        <is>
          <t>DROP</t>
        </is>
      </c>
      <c r="B58">
        <f>_xlfn.DROP(Data!A2:A6,2)</f>
        <v/>
      </c>
      <c r="C58" t="inlineStr">
        <is>
          <t>SYNTHETIC TEST DATA</t>
        </is>
      </c>
    </row>
    <row r="59">
      <c r="A59" t="inlineStr">
        <is>
          <t>HSTACK</t>
        </is>
      </c>
      <c r="B59">
        <f>_xlfn.HSTACK(Data!A2:A3,Data!B2:B3)</f>
        <v/>
      </c>
      <c r="C59" t="inlineStr">
        <is>
          <t>SYNTHETIC TEST DATA</t>
        </is>
      </c>
    </row>
    <row r="60">
      <c r="A60" t="inlineStr">
        <is>
          <t>VSTACK</t>
        </is>
      </c>
      <c r="B60">
        <f>_xlfn.VSTACK(Data!A2:A3,Data!A4:A5)</f>
        <v/>
      </c>
      <c r="C60" t="inlineStr">
        <is>
          <t>SYNTHETIC TEST DATA</t>
        </is>
      </c>
    </row>
    <row r="61">
      <c r="A61" t="inlineStr">
        <is>
          <t>RELATIVE_REF</t>
        </is>
      </c>
      <c r="B61">
        <f>Data!A2+Data!A3</f>
        <v/>
      </c>
      <c r="C61" t="inlineStr">
        <is>
          <t>SYNTHETIC TEST DATA</t>
        </is>
      </c>
    </row>
    <row r="62">
      <c r="A62" t="inlineStr">
        <is>
          <t>ABSOLUTE_REF</t>
        </is>
      </c>
      <c r="B62">
        <f>Data!$A$2+Data!$A$3</f>
        <v/>
      </c>
      <c r="C62" t="inlineStr">
        <is>
          <t>SYNTHETIC TEST DATA</t>
        </is>
      </c>
    </row>
    <row r="63">
      <c r="A63" t="inlineStr">
        <is>
          <t>MIXED_REF</t>
        </is>
      </c>
      <c r="B63">
        <f>Data!$A2+Data!A$3</f>
        <v/>
      </c>
      <c r="C63" t="inlineStr">
        <is>
          <t>SYNTHETIC TEST DATA</t>
        </is>
      </c>
    </row>
    <row r="64">
      <c r="A64" t="inlineStr">
        <is>
          <t>CROSS_SHEET_REF</t>
        </is>
      </c>
      <c r="B64">
        <f>Data!E2</f>
        <v/>
      </c>
      <c r="C64" t="inlineStr">
        <is>
          <t>SYNTHETIC TEST DATA</t>
        </is>
      </c>
    </row>
    <row r="65">
      <c r="A65" t="inlineStr">
        <is>
          <t>NAMED_RANGE</t>
        </is>
      </c>
      <c r="B65">
        <f>SUM(Values)</f>
        <v/>
      </c>
      <c r="C65" t="inlineStr">
        <is>
          <t>SYNTHETIC TEST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Text</t>
        </is>
      </c>
      <c r="C1" t="inlineStr">
        <is>
          <t>Date</t>
        </is>
      </c>
      <c r="D1" t="inlineStr">
        <is>
          <t>Department</t>
        </is>
      </c>
      <c r="E1" t="inlineStr">
        <is>
          <t>Amount</t>
        </is>
      </c>
    </row>
    <row r="2">
      <c r="A2" t="n">
        <v>1</v>
      </c>
      <c r="B2" t="inlineStr">
        <is>
          <t>alpha</t>
        </is>
      </c>
      <c r="C2" s="1" t="n">
        <v>46261</v>
      </c>
      <c r="D2" t="inlineStr">
        <is>
          <t>OPS</t>
        </is>
      </c>
      <c r="E2" t="n">
        <v>100</v>
      </c>
    </row>
    <row r="3">
      <c r="A3" t="n">
        <v>2</v>
      </c>
      <c r="B3" t="inlineStr">
        <is>
          <t>beta</t>
        </is>
      </c>
      <c r="C3" s="1" t="n">
        <v>46262</v>
      </c>
      <c r="D3" t="inlineStr">
        <is>
          <t>FIN</t>
        </is>
      </c>
      <c r="E3" t="n">
        <v>200</v>
      </c>
    </row>
    <row r="4">
      <c r="A4" t="n">
        <v>3</v>
      </c>
      <c r="B4" t="inlineStr">
        <is>
          <t>gamma</t>
        </is>
      </c>
      <c r="C4" s="1" t="n">
        <v>46263</v>
      </c>
      <c r="D4" t="inlineStr">
        <is>
          <t>OPS</t>
        </is>
      </c>
      <c r="E4" t="n">
        <v>300</v>
      </c>
    </row>
    <row r="5">
      <c r="A5" t="n">
        <v>4</v>
      </c>
      <c r="B5" t="inlineStr">
        <is>
          <t>delta</t>
        </is>
      </c>
      <c r="C5" s="1" t="n">
        <v>46264</v>
      </c>
      <c r="D5" t="inlineStr">
        <is>
          <t>HR</t>
        </is>
      </c>
      <c r="E5" t="n">
        <v>400</v>
      </c>
    </row>
    <row r="6">
      <c r="A6" t="n">
        <v>5</v>
      </c>
      <c r="B6" t="inlineStr">
        <is>
          <t>epsilon</t>
        </is>
      </c>
      <c r="C6" s="1" t="n">
        <v>46265</v>
      </c>
      <c r="D6" t="inlineStr">
        <is>
          <t>IT</t>
        </is>
      </c>
      <c r="E6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</row>
    <row r="2">
      <c r="A2" t="n">
        <v>10</v>
      </c>
      <c r="B2" t="n">
        <v>20</v>
      </c>
      <c r="C2" t="n">
        <v>30</v>
      </c>
      <c r="D2" t="n">
        <v>40</v>
      </c>
      <c r="E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2026-08-31T13:37:06Z</dcterms:created>
  <dcterms:modified xmlns:dcterms="http://purl.org/dc/terms/" xmlns:xsi="http://www.w3.org/2001/XMLSchema-instance" xsi:type="dcterms:W3CDTF">2026-08-31T13:37:06Z</dcterms:modified>
</cp:coreProperties>
</file>