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ransactions" sheetId="2" state="visible" r:id="rId4"/>
    <sheet name="Departments" sheetId="3" state="visible" r:id="rId5"/>
    <sheet name="Lookup" sheetId="4" state="visible" r:id="rId6"/>
    <sheet name="Notes" sheetId="5" state="visible" r:id="rId7"/>
    <sheet name="Pivot" sheetId="6" state="visible" r:id="rId8"/>
  </sheets>
  <definedNames>
    <definedName function="false" hidden="true" localSheetId="1" name="_xlnm._FilterDatabase" vbProcedure="false">Transactions!$A$1:$J$1201</definedName>
    <definedName function="false" hidden="false" name="TransactionAmounts" vbProcedure="false">Transactions!$H$2:$H$1201</definedName>
  </definedName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KHZ QA</author>
  </authors>
  <commentList>
    <comment ref="A2" authorId="0">
      <text>
        <r>
          <rPr>
            <sz val="10"/>
            <rFont val="Arial"/>
            <family val="2"/>
          </rPr>
          <t xml:space="preserve">SYNTHETIC TEST DATA comment</t>
        </r>
      </text>
    </comment>
  </commentList>
</comments>
</file>

<file path=xl/sharedStrings.xml><?xml version="1.0" encoding="utf-8"?>
<sst xmlns="http://schemas.openxmlformats.org/spreadsheetml/2006/main" count="4852" uniqueCount="1241">
  <si>
    <t xml:space="preserve">Metric</t>
  </si>
  <si>
    <t xml:space="preserve">Value</t>
  </si>
  <si>
    <t xml:space="preserve">Operations Total</t>
  </si>
  <si>
    <t xml:space="preserve">Approved Average</t>
  </si>
  <si>
    <t xml:space="preserve">Rejected Count</t>
  </si>
  <si>
    <t xml:space="preserve">Maximum</t>
  </si>
  <si>
    <t xml:space="preserve">Minimum</t>
  </si>
  <si>
    <t xml:space="preserve">Lookup Example</t>
  </si>
  <si>
    <t xml:space="preserve">Dynamic Array Example</t>
  </si>
  <si>
    <t xml:space="preserve">ID</t>
  </si>
  <si>
    <t xml:space="preserve">Date</t>
  </si>
  <si>
    <t xml:space="preserve">Department</t>
  </si>
  <si>
    <t xml:space="preserve">Category</t>
  </si>
  <si>
    <t xml:space="preserve">Amount</t>
  </si>
  <si>
    <t xml:space="preserve">TaxRate</t>
  </si>
  <si>
    <t xml:space="preserve">Tax</t>
  </si>
  <si>
    <t xml:space="preserve">Total</t>
  </si>
  <si>
    <t xml:space="preserve">Approved</t>
  </si>
  <si>
    <t xml:space="preserve">DeptName</t>
  </si>
  <si>
    <t xml:space="preserve">TX-00001</t>
  </si>
  <si>
    <t xml:space="preserve">FIN</t>
  </si>
  <si>
    <t xml:space="preserve">Supplies</t>
  </si>
  <si>
    <t xml:space="preserve">Yes</t>
  </si>
  <si>
    <t xml:space="preserve">TX-00002</t>
  </si>
  <si>
    <t xml:space="preserve">QLT</t>
  </si>
  <si>
    <t xml:space="preserve">Capital</t>
  </si>
  <si>
    <t xml:space="preserve">TX-00003</t>
  </si>
  <si>
    <t xml:space="preserve">HR</t>
  </si>
  <si>
    <t xml:space="preserve">Services</t>
  </si>
  <si>
    <t xml:space="preserve">TX-00004</t>
  </si>
  <si>
    <t xml:space="preserve">IT</t>
  </si>
  <si>
    <t xml:space="preserve">TX-00005</t>
  </si>
  <si>
    <t xml:space="preserve">OPS</t>
  </si>
  <si>
    <t xml:space="preserve">TX-00006</t>
  </si>
  <si>
    <t xml:space="preserve">TX-00007</t>
  </si>
  <si>
    <t xml:space="preserve">No</t>
  </si>
  <si>
    <t xml:space="preserve">TX-00008</t>
  </si>
  <si>
    <t xml:space="preserve">TX-00009</t>
  </si>
  <si>
    <t xml:space="preserve">TX-00010</t>
  </si>
  <si>
    <t xml:space="preserve">TX-00011</t>
  </si>
  <si>
    <t xml:space="preserve">TX-00012</t>
  </si>
  <si>
    <t xml:space="preserve">TX-00013</t>
  </si>
  <si>
    <t xml:space="preserve">TX-00014</t>
  </si>
  <si>
    <t xml:space="preserve">TX-00015</t>
  </si>
  <si>
    <t xml:space="preserve">TX-00016</t>
  </si>
  <si>
    <t xml:space="preserve">TX-00017</t>
  </si>
  <si>
    <t xml:space="preserve">TX-00018</t>
  </si>
  <si>
    <t xml:space="preserve">TX-00019</t>
  </si>
  <si>
    <t xml:space="preserve">TX-00020</t>
  </si>
  <si>
    <t xml:space="preserve">TX-00021</t>
  </si>
  <si>
    <t xml:space="preserve">TX-00022</t>
  </si>
  <si>
    <t xml:space="preserve">TX-00023</t>
  </si>
  <si>
    <t xml:space="preserve">TX-00024</t>
  </si>
  <si>
    <t xml:space="preserve">TX-00025</t>
  </si>
  <si>
    <t xml:space="preserve">TX-00026</t>
  </si>
  <si>
    <t xml:space="preserve">TX-00027</t>
  </si>
  <si>
    <t xml:space="preserve">TX-00028</t>
  </si>
  <si>
    <t xml:space="preserve">TX-00029</t>
  </si>
  <si>
    <t xml:space="preserve">TX-00030</t>
  </si>
  <si>
    <t xml:space="preserve">TX-00031</t>
  </si>
  <si>
    <t xml:space="preserve">TX-00032</t>
  </si>
  <si>
    <t xml:space="preserve">TX-00033</t>
  </si>
  <si>
    <t xml:space="preserve">TX-00034</t>
  </si>
  <si>
    <t xml:space="preserve">TX-00035</t>
  </si>
  <si>
    <t xml:space="preserve">TX-00036</t>
  </si>
  <si>
    <t xml:space="preserve">TX-00037</t>
  </si>
  <si>
    <t xml:space="preserve">TX-00038</t>
  </si>
  <si>
    <t xml:space="preserve">TX-00039</t>
  </si>
  <si>
    <t xml:space="preserve">TX-00040</t>
  </si>
  <si>
    <t xml:space="preserve">TX-00041</t>
  </si>
  <si>
    <t xml:space="preserve">TX-00042</t>
  </si>
  <si>
    <t xml:space="preserve">TX-00043</t>
  </si>
  <si>
    <t xml:space="preserve">TX-00044</t>
  </si>
  <si>
    <t xml:space="preserve">TX-00045</t>
  </si>
  <si>
    <t xml:space="preserve">TX-00046</t>
  </si>
  <si>
    <t xml:space="preserve">TX-00047</t>
  </si>
  <si>
    <t xml:space="preserve">TX-00048</t>
  </si>
  <si>
    <t xml:space="preserve">TX-00049</t>
  </si>
  <si>
    <t xml:space="preserve">TX-00050</t>
  </si>
  <si>
    <t xml:space="preserve">TX-00051</t>
  </si>
  <si>
    <t xml:space="preserve">TX-00052</t>
  </si>
  <si>
    <t xml:space="preserve">TX-00053</t>
  </si>
  <si>
    <t xml:space="preserve">TX-00054</t>
  </si>
  <si>
    <t xml:space="preserve">TX-00055</t>
  </si>
  <si>
    <t xml:space="preserve">TX-00056</t>
  </si>
  <si>
    <t xml:space="preserve">TX-00057</t>
  </si>
  <si>
    <t xml:space="preserve">TX-00058</t>
  </si>
  <si>
    <t xml:space="preserve">TX-00059</t>
  </si>
  <si>
    <t xml:space="preserve">TX-00060</t>
  </si>
  <si>
    <t xml:space="preserve">TX-00061</t>
  </si>
  <si>
    <t xml:space="preserve">TX-00062</t>
  </si>
  <si>
    <t xml:space="preserve">TX-00063</t>
  </si>
  <si>
    <t xml:space="preserve">TX-00064</t>
  </si>
  <si>
    <t xml:space="preserve">TX-00065</t>
  </si>
  <si>
    <t xml:space="preserve">TX-00066</t>
  </si>
  <si>
    <t xml:space="preserve">TX-00067</t>
  </si>
  <si>
    <t xml:space="preserve">TX-00068</t>
  </si>
  <si>
    <t xml:space="preserve">TX-00069</t>
  </si>
  <si>
    <t xml:space="preserve">TX-00070</t>
  </si>
  <si>
    <t xml:space="preserve">TX-00071</t>
  </si>
  <si>
    <t xml:space="preserve">TX-00072</t>
  </si>
  <si>
    <t xml:space="preserve">TX-00073</t>
  </si>
  <si>
    <t xml:space="preserve">TX-00074</t>
  </si>
  <si>
    <t xml:space="preserve">TX-00075</t>
  </si>
  <si>
    <t xml:space="preserve">TX-00076</t>
  </si>
  <si>
    <t xml:space="preserve">TX-00077</t>
  </si>
  <si>
    <t xml:space="preserve">TX-00078</t>
  </si>
  <si>
    <t xml:space="preserve">TX-00079</t>
  </si>
  <si>
    <t xml:space="preserve">TX-00080</t>
  </si>
  <si>
    <t xml:space="preserve">TX-00081</t>
  </si>
  <si>
    <t xml:space="preserve">TX-00082</t>
  </si>
  <si>
    <t xml:space="preserve">TX-00083</t>
  </si>
  <si>
    <t xml:space="preserve">TX-00084</t>
  </si>
  <si>
    <t xml:space="preserve">TX-00085</t>
  </si>
  <si>
    <t xml:space="preserve">TX-00086</t>
  </si>
  <si>
    <t xml:space="preserve">TX-00087</t>
  </si>
  <si>
    <t xml:space="preserve">TX-00088</t>
  </si>
  <si>
    <t xml:space="preserve">TX-00089</t>
  </si>
  <si>
    <t xml:space="preserve">TX-00090</t>
  </si>
  <si>
    <t xml:space="preserve">TX-00091</t>
  </si>
  <si>
    <t xml:space="preserve">TX-00092</t>
  </si>
  <si>
    <t xml:space="preserve">TX-00093</t>
  </si>
  <si>
    <t xml:space="preserve">TX-00094</t>
  </si>
  <si>
    <t xml:space="preserve">TX-00095</t>
  </si>
  <si>
    <t xml:space="preserve">TX-00096</t>
  </si>
  <si>
    <t xml:space="preserve">TX-00097</t>
  </si>
  <si>
    <t xml:space="preserve">TX-00098</t>
  </si>
  <si>
    <t xml:space="preserve">TX-00099</t>
  </si>
  <si>
    <t xml:space="preserve">TX-00100</t>
  </si>
  <si>
    <t xml:space="preserve">TX-00101</t>
  </si>
  <si>
    <t xml:space="preserve">TX-00102</t>
  </si>
  <si>
    <t xml:space="preserve">TX-00103</t>
  </si>
  <si>
    <t xml:space="preserve">TX-00104</t>
  </si>
  <si>
    <t xml:space="preserve">TX-00105</t>
  </si>
  <si>
    <t xml:space="preserve">TX-00106</t>
  </si>
  <si>
    <t xml:space="preserve">TX-00107</t>
  </si>
  <si>
    <t xml:space="preserve">TX-00108</t>
  </si>
  <si>
    <t xml:space="preserve">TX-00109</t>
  </si>
  <si>
    <t xml:space="preserve">TX-00110</t>
  </si>
  <si>
    <t xml:space="preserve">TX-00111</t>
  </si>
  <si>
    <t xml:space="preserve">TX-00112</t>
  </si>
  <si>
    <t xml:space="preserve">TX-00113</t>
  </si>
  <si>
    <t xml:space="preserve">TX-00114</t>
  </si>
  <si>
    <t xml:space="preserve">TX-00115</t>
  </si>
  <si>
    <t xml:space="preserve">TX-00116</t>
  </si>
  <si>
    <t xml:space="preserve">TX-00117</t>
  </si>
  <si>
    <t xml:space="preserve">TX-00118</t>
  </si>
  <si>
    <t xml:space="preserve">TX-00119</t>
  </si>
  <si>
    <t xml:space="preserve">TX-00120</t>
  </si>
  <si>
    <t xml:space="preserve">TX-00121</t>
  </si>
  <si>
    <t xml:space="preserve">TX-00122</t>
  </si>
  <si>
    <t xml:space="preserve">TX-00123</t>
  </si>
  <si>
    <t xml:space="preserve">TX-00124</t>
  </si>
  <si>
    <t xml:space="preserve">TX-00125</t>
  </si>
  <si>
    <t xml:space="preserve">TX-00126</t>
  </si>
  <si>
    <t xml:space="preserve">TX-00127</t>
  </si>
  <si>
    <t xml:space="preserve">TX-00128</t>
  </si>
  <si>
    <t xml:space="preserve">TX-00129</t>
  </si>
  <si>
    <t xml:space="preserve">TX-00130</t>
  </si>
  <si>
    <t xml:space="preserve">TX-00131</t>
  </si>
  <si>
    <t xml:space="preserve">TX-00132</t>
  </si>
  <si>
    <t xml:space="preserve">TX-00133</t>
  </si>
  <si>
    <t xml:space="preserve">TX-00134</t>
  </si>
  <si>
    <t xml:space="preserve">TX-00135</t>
  </si>
  <si>
    <t xml:space="preserve">TX-00136</t>
  </si>
  <si>
    <t xml:space="preserve">TX-00137</t>
  </si>
  <si>
    <t xml:space="preserve">TX-00138</t>
  </si>
  <si>
    <t xml:space="preserve">TX-00139</t>
  </si>
  <si>
    <t xml:space="preserve">TX-00140</t>
  </si>
  <si>
    <t xml:space="preserve">TX-00141</t>
  </si>
  <si>
    <t xml:space="preserve">TX-00142</t>
  </si>
  <si>
    <t xml:space="preserve">TX-00143</t>
  </si>
  <si>
    <t xml:space="preserve">TX-00144</t>
  </si>
  <si>
    <t xml:space="preserve">TX-00145</t>
  </si>
  <si>
    <t xml:space="preserve">TX-00146</t>
  </si>
  <si>
    <t xml:space="preserve">TX-00147</t>
  </si>
  <si>
    <t xml:space="preserve">TX-00148</t>
  </si>
  <si>
    <t xml:space="preserve">TX-00149</t>
  </si>
  <si>
    <t xml:space="preserve">TX-00150</t>
  </si>
  <si>
    <t xml:space="preserve">TX-00151</t>
  </si>
  <si>
    <t xml:space="preserve">TX-00152</t>
  </si>
  <si>
    <t xml:space="preserve">TX-00153</t>
  </si>
  <si>
    <t xml:space="preserve">TX-00154</t>
  </si>
  <si>
    <t xml:space="preserve">TX-00155</t>
  </si>
  <si>
    <t xml:space="preserve">TX-00156</t>
  </si>
  <si>
    <t xml:space="preserve">TX-00157</t>
  </si>
  <si>
    <t xml:space="preserve">TX-00158</t>
  </si>
  <si>
    <t xml:space="preserve">TX-00159</t>
  </si>
  <si>
    <t xml:space="preserve">TX-00160</t>
  </si>
  <si>
    <t xml:space="preserve">TX-00161</t>
  </si>
  <si>
    <t xml:space="preserve">TX-00162</t>
  </si>
  <si>
    <t xml:space="preserve">TX-00163</t>
  </si>
  <si>
    <t xml:space="preserve">TX-00164</t>
  </si>
  <si>
    <t xml:space="preserve">TX-00165</t>
  </si>
  <si>
    <t xml:space="preserve">TX-00166</t>
  </si>
  <si>
    <t xml:space="preserve">TX-00167</t>
  </si>
  <si>
    <t xml:space="preserve">TX-00168</t>
  </si>
  <si>
    <t xml:space="preserve">TX-00169</t>
  </si>
  <si>
    <t xml:space="preserve">TX-00170</t>
  </si>
  <si>
    <t xml:space="preserve">TX-00171</t>
  </si>
  <si>
    <t xml:space="preserve">TX-00172</t>
  </si>
  <si>
    <t xml:space="preserve">TX-00173</t>
  </si>
  <si>
    <t xml:space="preserve">TX-00174</t>
  </si>
  <si>
    <t xml:space="preserve">TX-00175</t>
  </si>
  <si>
    <t xml:space="preserve">TX-00176</t>
  </si>
  <si>
    <t xml:space="preserve">TX-00177</t>
  </si>
  <si>
    <t xml:space="preserve">TX-00178</t>
  </si>
  <si>
    <t xml:space="preserve">TX-00179</t>
  </si>
  <si>
    <t xml:space="preserve">TX-00180</t>
  </si>
  <si>
    <t xml:space="preserve">TX-00181</t>
  </si>
  <si>
    <t xml:space="preserve">TX-00182</t>
  </si>
  <si>
    <t xml:space="preserve">TX-00183</t>
  </si>
  <si>
    <t xml:space="preserve">TX-00184</t>
  </si>
  <si>
    <t xml:space="preserve">TX-00185</t>
  </si>
  <si>
    <t xml:space="preserve">TX-00186</t>
  </si>
  <si>
    <t xml:space="preserve">TX-00187</t>
  </si>
  <si>
    <t xml:space="preserve">TX-00188</t>
  </si>
  <si>
    <t xml:space="preserve">TX-00189</t>
  </si>
  <si>
    <t xml:space="preserve">TX-00190</t>
  </si>
  <si>
    <t xml:space="preserve">TX-00191</t>
  </si>
  <si>
    <t xml:space="preserve">TX-00192</t>
  </si>
  <si>
    <t xml:space="preserve">TX-00193</t>
  </si>
  <si>
    <t xml:space="preserve">TX-00194</t>
  </si>
  <si>
    <t xml:space="preserve">TX-00195</t>
  </si>
  <si>
    <t xml:space="preserve">TX-00196</t>
  </si>
  <si>
    <t xml:space="preserve">TX-00197</t>
  </si>
  <si>
    <t xml:space="preserve">TX-00198</t>
  </si>
  <si>
    <t xml:space="preserve">TX-00199</t>
  </si>
  <si>
    <t xml:space="preserve">TX-00200</t>
  </si>
  <si>
    <t xml:space="preserve">TX-00201</t>
  </si>
  <si>
    <t xml:space="preserve">TX-00202</t>
  </si>
  <si>
    <t xml:space="preserve">TX-00203</t>
  </si>
  <si>
    <t xml:space="preserve">TX-00204</t>
  </si>
  <si>
    <t xml:space="preserve">TX-00205</t>
  </si>
  <si>
    <t xml:space="preserve">TX-00206</t>
  </si>
  <si>
    <t xml:space="preserve">TX-00207</t>
  </si>
  <si>
    <t xml:space="preserve">TX-00208</t>
  </si>
  <si>
    <t xml:space="preserve">TX-00209</t>
  </si>
  <si>
    <t xml:space="preserve">TX-00210</t>
  </si>
  <si>
    <t xml:space="preserve">TX-00211</t>
  </si>
  <si>
    <t xml:space="preserve">TX-00212</t>
  </si>
  <si>
    <t xml:space="preserve">TX-00213</t>
  </si>
  <si>
    <t xml:space="preserve">TX-00214</t>
  </si>
  <si>
    <t xml:space="preserve">TX-00215</t>
  </si>
  <si>
    <t xml:space="preserve">TX-00216</t>
  </si>
  <si>
    <t xml:space="preserve">TX-00217</t>
  </si>
  <si>
    <t xml:space="preserve">TX-00218</t>
  </si>
  <si>
    <t xml:space="preserve">TX-00219</t>
  </si>
  <si>
    <t xml:space="preserve">TX-00220</t>
  </si>
  <si>
    <t xml:space="preserve">TX-00221</t>
  </si>
  <si>
    <t xml:space="preserve">TX-00222</t>
  </si>
  <si>
    <t xml:space="preserve">TX-00223</t>
  </si>
  <si>
    <t xml:space="preserve">TX-00224</t>
  </si>
  <si>
    <t xml:space="preserve">TX-00225</t>
  </si>
  <si>
    <t xml:space="preserve">TX-00226</t>
  </si>
  <si>
    <t xml:space="preserve">TX-00227</t>
  </si>
  <si>
    <t xml:space="preserve">TX-00228</t>
  </si>
  <si>
    <t xml:space="preserve">TX-00229</t>
  </si>
  <si>
    <t xml:space="preserve">TX-00230</t>
  </si>
  <si>
    <t xml:space="preserve">TX-00231</t>
  </si>
  <si>
    <t xml:space="preserve">TX-00232</t>
  </si>
  <si>
    <t xml:space="preserve">TX-00233</t>
  </si>
  <si>
    <t xml:space="preserve">TX-00234</t>
  </si>
  <si>
    <t xml:space="preserve">TX-00235</t>
  </si>
  <si>
    <t xml:space="preserve">TX-00236</t>
  </si>
  <si>
    <t xml:space="preserve">TX-00237</t>
  </si>
  <si>
    <t xml:space="preserve">TX-00238</t>
  </si>
  <si>
    <t xml:space="preserve">TX-00239</t>
  </si>
  <si>
    <t xml:space="preserve">TX-00240</t>
  </si>
  <si>
    <t xml:space="preserve">TX-00241</t>
  </si>
  <si>
    <t xml:space="preserve">TX-00242</t>
  </si>
  <si>
    <t xml:space="preserve">TX-00243</t>
  </si>
  <si>
    <t xml:space="preserve">TX-00244</t>
  </si>
  <si>
    <t xml:space="preserve">TX-00245</t>
  </si>
  <si>
    <t xml:space="preserve">TX-00246</t>
  </si>
  <si>
    <t xml:space="preserve">TX-00247</t>
  </si>
  <si>
    <t xml:space="preserve">TX-00248</t>
  </si>
  <si>
    <t xml:space="preserve">TX-00249</t>
  </si>
  <si>
    <t xml:space="preserve">TX-00250</t>
  </si>
  <si>
    <t xml:space="preserve">TX-00251</t>
  </si>
  <si>
    <t xml:space="preserve">TX-00252</t>
  </si>
  <si>
    <t xml:space="preserve">TX-00253</t>
  </si>
  <si>
    <t xml:space="preserve">TX-00254</t>
  </si>
  <si>
    <t xml:space="preserve">TX-00255</t>
  </si>
  <si>
    <t xml:space="preserve">TX-00256</t>
  </si>
  <si>
    <t xml:space="preserve">TX-00257</t>
  </si>
  <si>
    <t xml:space="preserve">TX-00258</t>
  </si>
  <si>
    <t xml:space="preserve">TX-00259</t>
  </si>
  <si>
    <t xml:space="preserve">TX-00260</t>
  </si>
  <si>
    <t xml:space="preserve">TX-00261</t>
  </si>
  <si>
    <t xml:space="preserve">TX-00262</t>
  </si>
  <si>
    <t xml:space="preserve">TX-00263</t>
  </si>
  <si>
    <t xml:space="preserve">TX-00264</t>
  </si>
  <si>
    <t xml:space="preserve">TX-00265</t>
  </si>
  <si>
    <t xml:space="preserve">TX-00266</t>
  </si>
  <si>
    <t xml:space="preserve">TX-00267</t>
  </si>
  <si>
    <t xml:space="preserve">TX-00268</t>
  </si>
  <si>
    <t xml:space="preserve">TX-00269</t>
  </si>
  <si>
    <t xml:space="preserve">TX-00270</t>
  </si>
  <si>
    <t xml:space="preserve">TX-00271</t>
  </si>
  <si>
    <t xml:space="preserve">TX-00272</t>
  </si>
  <si>
    <t xml:space="preserve">TX-00273</t>
  </si>
  <si>
    <t xml:space="preserve">TX-00274</t>
  </si>
  <si>
    <t xml:space="preserve">TX-00275</t>
  </si>
  <si>
    <t xml:space="preserve">TX-00276</t>
  </si>
  <si>
    <t xml:space="preserve">TX-00277</t>
  </si>
  <si>
    <t xml:space="preserve">TX-00278</t>
  </si>
  <si>
    <t xml:space="preserve">TX-00279</t>
  </si>
  <si>
    <t xml:space="preserve">TX-00280</t>
  </si>
  <si>
    <t xml:space="preserve">TX-00281</t>
  </si>
  <si>
    <t xml:space="preserve">TX-00282</t>
  </si>
  <si>
    <t xml:space="preserve">TX-00283</t>
  </si>
  <si>
    <t xml:space="preserve">TX-00284</t>
  </si>
  <si>
    <t xml:space="preserve">TX-00285</t>
  </si>
  <si>
    <t xml:space="preserve">TX-00286</t>
  </si>
  <si>
    <t xml:space="preserve">TX-00287</t>
  </si>
  <si>
    <t xml:space="preserve">TX-00288</t>
  </si>
  <si>
    <t xml:space="preserve">TX-00289</t>
  </si>
  <si>
    <t xml:space="preserve">TX-00290</t>
  </si>
  <si>
    <t xml:space="preserve">TX-00291</t>
  </si>
  <si>
    <t xml:space="preserve">TX-00292</t>
  </si>
  <si>
    <t xml:space="preserve">TX-00293</t>
  </si>
  <si>
    <t xml:space="preserve">TX-00294</t>
  </si>
  <si>
    <t xml:space="preserve">TX-00295</t>
  </si>
  <si>
    <t xml:space="preserve">TX-00296</t>
  </si>
  <si>
    <t xml:space="preserve">TX-00297</t>
  </si>
  <si>
    <t xml:space="preserve">TX-00298</t>
  </si>
  <si>
    <t xml:space="preserve">TX-00299</t>
  </si>
  <si>
    <t xml:space="preserve">TX-00300</t>
  </si>
  <si>
    <t xml:space="preserve">TX-00301</t>
  </si>
  <si>
    <t xml:space="preserve">TX-00302</t>
  </si>
  <si>
    <t xml:space="preserve">TX-00303</t>
  </si>
  <si>
    <t xml:space="preserve">TX-00304</t>
  </si>
  <si>
    <t xml:space="preserve">TX-00305</t>
  </si>
  <si>
    <t xml:space="preserve">TX-00306</t>
  </si>
  <si>
    <t xml:space="preserve">TX-00307</t>
  </si>
  <si>
    <t xml:space="preserve">TX-00308</t>
  </si>
  <si>
    <t xml:space="preserve">TX-00309</t>
  </si>
  <si>
    <t xml:space="preserve">TX-00310</t>
  </si>
  <si>
    <t xml:space="preserve">TX-00311</t>
  </si>
  <si>
    <t xml:space="preserve">TX-00312</t>
  </si>
  <si>
    <t xml:space="preserve">TX-00313</t>
  </si>
  <si>
    <t xml:space="preserve">TX-00314</t>
  </si>
  <si>
    <t xml:space="preserve">TX-00315</t>
  </si>
  <si>
    <t xml:space="preserve">TX-00316</t>
  </si>
  <si>
    <t xml:space="preserve">TX-00317</t>
  </si>
  <si>
    <t xml:space="preserve">TX-00318</t>
  </si>
  <si>
    <t xml:space="preserve">TX-00319</t>
  </si>
  <si>
    <t xml:space="preserve">TX-00320</t>
  </si>
  <si>
    <t xml:space="preserve">TX-00321</t>
  </si>
  <si>
    <t xml:space="preserve">TX-00322</t>
  </si>
  <si>
    <t xml:space="preserve">TX-00323</t>
  </si>
  <si>
    <t xml:space="preserve">TX-00324</t>
  </si>
  <si>
    <t xml:space="preserve">TX-00325</t>
  </si>
  <si>
    <t xml:space="preserve">TX-00326</t>
  </si>
  <si>
    <t xml:space="preserve">TX-00327</t>
  </si>
  <si>
    <t xml:space="preserve">TX-00328</t>
  </si>
  <si>
    <t xml:space="preserve">TX-00329</t>
  </si>
  <si>
    <t xml:space="preserve">TX-00330</t>
  </si>
  <si>
    <t xml:space="preserve">TX-00331</t>
  </si>
  <si>
    <t xml:space="preserve">TX-00332</t>
  </si>
  <si>
    <t xml:space="preserve">TX-00333</t>
  </si>
  <si>
    <t xml:space="preserve">TX-00334</t>
  </si>
  <si>
    <t xml:space="preserve">TX-00335</t>
  </si>
  <si>
    <t xml:space="preserve">TX-00336</t>
  </si>
  <si>
    <t xml:space="preserve">TX-00337</t>
  </si>
  <si>
    <t xml:space="preserve">TX-00338</t>
  </si>
  <si>
    <t xml:space="preserve">TX-00339</t>
  </si>
  <si>
    <t xml:space="preserve">TX-00340</t>
  </si>
  <si>
    <t xml:space="preserve">TX-00341</t>
  </si>
  <si>
    <t xml:space="preserve">TX-00342</t>
  </si>
  <si>
    <t xml:space="preserve">TX-00343</t>
  </si>
  <si>
    <t xml:space="preserve">TX-00344</t>
  </si>
  <si>
    <t xml:space="preserve">TX-00345</t>
  </si>
  <si>
    <t xml:space="preserve">TX-00346</t>
  </si>
  <si>
    <t xml:space="preserve">TX-00347</t>
  </si>
  <si>
    <t xml:space="preserve">TX-00348</t>
  </si>
  <si>
    <t xml:space="preserve">TX-00349</t>
  </si>
  <si>
    <t xml:space="preserve">TX-00350</t>
  </si>
  <si>
    <t xml:space="preserve">TX-00351</t>
  </si>
  <si>
    <t xml:space="preserve">TX-00352</t>
  </si>
  <si>
    <t xml:space="preserve">TX-00353</t>
  </si>
  <si>
    <t xml:space="preserve">TX-00354</t>
  </si>
  <si>
    <t xml:space="preserve">TX-00355</t>
  </si>
  <si>
    <t xml:space="preserve">TX-00356</t>
  </si>
  <si>
    <t xml:space="preserve">TX-00357</t>
  </si>
  <si>
    <t xml:space="preserve">TX-00358</t>
  </si>
  <si>
    <t xml:space="preserve">TX-00359</t>
  </si>
  <si>
    <t xml:space="preserve">TX-00360</t>
  </si>
  <si>
    <t xml:space="preserve">TX-00361</t>
  </si>
  <si>
    <t xml:space="preserve">TX-00362</t>
  </si>
  <si>
    <t xml:space="preserve">TX-00363</t>
  </si>
  <si>
    <t xml:space="preserve">TX-00364</t>
  </si>
  <si>
    <t xml:space="preserve">TX-00365</t>
  </si>
  <si>
    <t xml:space="preserve">TX-00366</t>
  </si>
  <si>
    <t xml:space="preserve">TX-00367</t>
  </si>
  <si>
    <t xml:space="preserve">TX-00368</t>
  </si>
  <si>
    <t xml:space="preserve">TX-00369</t>
  </si>
  <si>
    <t xml:space="preserve">TX-00370</t>
  </si>
  <si>
    <t xml:space="preserve">TX-00371</t>
  </si>
  <si>
    <t xml:space="preserve">TX-00372</t>
  </si>
  <si>
    <t xml:space="preserve">TX-00373</t>
  </si>
  <si>
    <t xml:space="preserve">TX-00374</t>
  </si>
  <si>
    <t xml:space="preserve">TX-00375</t>
  </si>
  <si>
    <t xml:space="preserve">TX-00376</t>
  </si>
  <si>
    <t xml:space="preserve">TX-00377</t>
  </si>
  <si>
    <t xml:space="preserve">TX-00378</t>
  </si>
  <si>
    <t xml:space="preserve">TX-00379</t>
  </si>
  <si>
    <t xml:space="preserve">TX-00380</t>
  </si>
  <si>
    <t xml:space="preserve">TX-00381</t>
  </si>
  <si>
    <t xml:space="preserve">TX-00382</t>
  </si>
  <si>
    <t xml:space="preserve">TX-00383</t>
  </si>
  <si>
    <t xml:space="preserve">TX-00384</t>
  </si>
  <si>
    <t xml:space="preserve">TX-00385</t>
  </si>
  <si>
    <t xml:space="preserve">TX-00386</t>
  </si>
  <si>
    <t xml:space="preserve">TX-00387</t>
  </si>
  <si>
    <t xml:space="preserve">TX-00388</t>
  </si>
  <si>
    <t xml:space="preserve">TX-00389</t>
  </si>
  <si>
    <t xml:space="preserve">TX-00390</t>
  </si>
  <si>
    <t xml:space="preserve">TX-00391</t>
  </si>
  <si>
    <t xml:space="preserve">TX-00392</t>
  </si>
  <si>
    <t xml:space="preserve">TX-00393</t>
  </si>
  <si>
    <t xml:space="preserve">TX-00394</t>
  </si>
  <si>
    <t xml:space="preserve">TX-00395</t>
  </si>
  <si>
    <t xml:space="preserve">TX-00396</t>
  </si>
  <si>
    <t xml:space="preserve">TX-00397</t>
  </si>
  <si>
    <t xml:space="preserve">TX-00398</t>
  </si>
  <si>
    <t xml:space="preserve">TX-00399</t>
  </si>
  <si>
    <t xml:space="preserve">TX-00400</t>
  </si>
  <si>
    <t xml:space="preserve">TX-00401</t>
  </si>
  <si>
    <t xml:space="preserve">TX-00402</t>
  </si>
  <si>
    <t xml:space="preserve">TX-00403</t>
  </si>
  <si>
    <t xml:space="preserve">TX-00404</t>
  </si>
  <si>
    <t xml:space="preserve">TX-00405</t>
  </si>
  <si>
    <t xml:space="preserve">TX-00406</t>
  </si>
  <si>
    <t xml:space="preserve">TX-00407</t>
  </si>
  <si>
    <t xml:space="preserve">TX-00408</t>
  </si>
  <si>
    <t xml:space="preserve">TX-00409</t>
  </si>
  <si>
    <t xml:space="preserve">TX-00410</t>
  </si>
  <si>
    <t xml:space="preserve">TX-00411</t>
  </si>
  <si>
    <t xml:space="preserve">TX-00412</t>
  </si>
  <si>
    <t xml:space="preserve">TX-00413</t>
  </si>
  <si>
    <t xml:space="preserve">TX-00414</t>
  </si>
  <si>
    <t xml:space="preserve">TX-00415</t>
  </si>
  <si>
    <t xml:space="preserve">TX-00416</t>
  </si>
  <si>
    <t xml:space="preserve">TX-00417</t>
  </si>
  <si>
    <t xml:space="preserve">TX-00418</t>
  </si>
  <si>
    <t xml:space="preserve">TX-00419</t>
  </si>
  <si>
    <t xml:space="preserve">TX-00420</t>
  </si>
  <si>
    <t xml:space="preserve">TX-00421</t>
  </si>
  <si>
    <t xml:space="preserve">TX-00422</t>
  </si>
  <si>
    <t xml:space="preserve">TX-00423</t>
  </si>
  <si>
    <t xml:space="preserve">TX-00424</t>
  </si>
  <si>
    <t xml:space="preserve">TX-00425</t>
  </si>
  <si>
    <t xml:space="preserve">TX-00426</t>
  </si>
  <si>
    <t xml:space="preserve">TX-00427</t>
  </si>
  <si>
    <t xml:space="preserve">TX-00428</t>
  </si>
  <si>
    <t xml:space="preserve">TX-00429</t>
  </si>
  <si>
    <t xml:space="preserve">TX-00430</t>
  </si>
  <si>
    <t xml:space="preserve">TX-00431</t>
  </si>
  <si>
    <t xml:space="preserve">TX-00432</t>
  </si>
  <si>
    <t xml:space="preserve">TX-00433</t>
  </si>
  <si>
    <t xml:space="preserve">TX-00434</t>
  </si>
  <si>
    <t xml:space="preserve">TX-00435</t>
  </si>
  <si>
    <t xml:space="preserve">TX-00436</t>
  </si>
  <si>
    <t xml:space="preserve">TX-00437</t>
  </si>
  <si>
    <t xml:space="preserve">TX-00438</t>
  </si>
  <si>
    <t xml:space="preserve">TX-00439</t>
  </si>
  <si>
    <t xml:space="preserve">TX-00440</t>
  </si>
  <si>
    <t xml:space="preserve">TX-00441</t>
  </si>
  <si>
    <t xml:space="preserve">TX-00442</t>
  </si>
  <si>
    <t xml:space="preserve">TX-00443</t>
  </si>
  <si>
    <t xml:space="preserve">TX-00444</t>
  </si>
  <si>
    <t xml:space="preserve">TX-00445</t>
  </si>
  <si>
    <t xml:space="preserve">TX-00446</t>
  </si>
  <si>
    <t xml:space="preserve">TX-00447</t>
  </si>
  <si>
    <t xml:space="preserve">TX-00448</t>
  </si>
  <si>
    <t xml:space="preserve">TX-00449</t>
  </si>
  <si>
    <t xml:space="preserve">TX-00450</t>
  </si>
  <si>
    <t xml:space="preserve">TX-00451</t>
  </si>
  <si>
    <t xml:space="preserve">TX-00452</t>
  </si>
  <si>
    <t xml:space="preserve">TX-00453</t>
  </si>
  <si>
    <t xml:space="preserve">TX-00454</t>
  </si>
  <si>
    <t xml:space="preserve">TX-00455</t>
  </si>
  <si>
    <t xml:space="preserve">TX-00456</t>
  </si>
  <si>
    <t xml:space="preserve">TX-00457</t>
  </si>
  <si>
    <t xml:space="preserve">TX-00458</t>
  </si>
  <si>
    <t xml:space="preserve">TX-00459</t>
  </si>
  <si>
    <t xml:space="preserve">TX-00460</t>
  </si>
  <si>
    <t xml:space="preserve">TX-00461</t>
  </si>
  <si>
    <t xml:space="preserve">TX-00462</t>
  </si>
  <si>
    <t xml:space="preserve">TX-00463</t>
  </si>
  <si>
    <t xml:space="preserve">TX-00464</t>
  </si>
  <si>
    <t xml:space="preserve">TX-00465</t>
  </si>
  <si>
    <t xml:space="preserve">TX-00466</t>
  </si>
  <si>
    <t xml:space="preserve">TX-00467</t>
  </si>
  <si>
    <t xml:space="preserve">TX-00468</t>
  </si>
  <si>
    <t xml:space="preserve">TX-00469</t>
  </si>
  <si>
    <t xml:space="preserve">TX-00470</t>
  </si>
  <si>
    <t xml:space="preserve">TX-00471</t>
  </si>
  <si>
    <t xml:space="preserve">TX-00472</t>
  </si>
  <si>
    <t xml:space="preserve">TX-00473</t>
  </si>
  <si>
    <t xml:space="preserve">TX-00474</t>
  </si>
  <si>
    <t xml:space="preserve">TX-00475</t>
  </si>
  <si>
    <t xml:space="preserve">TX-00476</t>
  </si>
  <si>
    <t xml:space="preserve">TX-00477</t>
  </si>
  <si>
    <t xml:space="preserve">TX-00478</t>
  </si>
  <si>
    <t xml:space="preserve">TX-00479</t>
  </si>
  <si>
    <t xml:space="preserve">TX-00480</t>
  </si>
  <si>
    <t xml:space="preserve">TX-00481</t>
  </si>
  <si>
    <t xml:space="preserve">TX-00482</t>
  </si>
  <si>
    <t xml:space="preserve">TX-00483</t>
  </si>
  <si>
    <t xml:space="preserve">TX-00484</t>
  </si>
  <si>
    <t xml:space="preserve">TX-00485</t>
  </si>
  <si>
    <t xml:space="preserve">TX-00486</t>
  </si>
  <si>
    <t xml:space="preserve">TX-00487</t>
  </si>
  <si>
    <t xml:space="preserve">TX-00488</t>
  </si>
  <si>
    <t xml:space="preserve">TX-00489</t>
  </si>
  <si>
    <t xml:space="preserve">TX-00490</t>
  </si>
  <si>
    <t xml:space="preserve">TX-00491</t>
  </si>
  <si>
    <t xml:space="preserve">TX-00492</t>
  </si>
  <si>
    <t xml:space="preserve">TX-00493</t>
  </si>
  <si>
    <t xml:space="preserve">TX-00494</t>
  </si>
  <si>
    <t xml:space="preserve">TX-00495</t>
  </si>
  <si>
    <t xml:space="preserve">TX-00496</t>
  </si>
  <si>
    <t xml:space="preserve">TX-00497</t>
  </si>
  <si>
    <t xml:space="preserve">TX-00498</t>
  </si>
  <si>
    <t xml:space="preserve">TX-00499</t>
  </si>
  <si>
    <t xml:space="preserve">TX-00500</t>
  </si>
  <si>
    <t xml:space="preserve">TX-00501</t>
  </si>
  <si>
    <t xml:space="preserve">TX-00502</t>
  </si>
  <si>
    <t xml:space="preserve">TX-00503</t>
  </si>
  <si>
    <t xml:space="preserve">TX-00504</t>
  </si>
  <si>
    <t xml:space="preserve">TX-00505</t>
  </si>
  <si>
    <t xml:space="preserve">TX-00506</t>
  </si>
  <si>
    <t xml:space="preserve">TX-00507</t>
  </si>
  <si>
    <t xml:space="preserve">TX-00508</t>
  </si>
  <si>
    <t xml:space="preserve">TX-00509</t>
  </si>
  <si>
    <t xml:space="preserve">TX-00510</t>
  </si>
  <si>
    <t xml:space="preserve">TX-00511</t>
  </si>
  <si>
    <t xml:space="preserve">TX-00512</t>
  </si>
  <si>
    <t xml:space="preserve">TX-00513</t>
  </si>
  <si>
    <t xml:space="preserve">TX-00514</t>
  </si>
  <si>
    <t xml:space="preserve">TX-00515</t>
  </si>
  <si>
    <t xml:space="preserve">TX-00516</t>
  </si>
  <si>
    <t xml:space="preserve">TX-00517</t>
  </si>
  <si>
    <t xml:space="preserve">TX-00518</t>
  </si>
  <si>
    <t xml:space="preserve">TX-00519</t>
  </si>
  <si>
    <t xml:space="preserve">TX-00520</t>
  </si>
  <si>
    <t xml:space="preserve">TX-00521</t>
  </si>
  <si>
    <t xml:space="preserve">TX-00522</t>
  </si>
  <si>
    <t xml:space="preserve">TX-00523</t>
  </si>
  <si>
    <t xml:space="preserve">TX-00524</t>
  </si>
  <si>
    <t xml:space="preserve">TX-00525</t>
  </si>
  <si>
    <t xml:space="preserve">TX-00526</t>
  </si>
  <si>
    <t xml:space="preserve">TX-00527</t>
  </si>
  <si>
    <t xml:space="preserve">TX-00528</t>
  </si>
  <si>
    <t xml:space="preserve">TX-00529</t>
  </si>
  <si>
    <t xml:space="preserve">TX-00530</t>
  </si>
  <si>
    <t xml:space="preserve">TX-00531</t>
  </si>
  <si>
    <t xml:space="preserve">TX-00532</t>
  </si>
  <si>
    <t xml:space="preserve">TX-00533</t>
  </si>
  <si>
    <t xml:space="preserve">TX-00534</t>
  </si>
  <si>
    <t xml:space="preserve">TX-00535</t>
  </si>
  <si>
    <t xml:space="preserve">TX-00536</t>
  </si>
  <si>
    <t xml:space="preserve">TX-00537</t>
  </si>
  <si>
    <t xml:space="preserve">TX-00538</t>
  </si>
  <si>
    <t xml:space="preserve">TX-00539</t>
  </si>
  <si>
    <t xml:space="preserve">TX-00540</t>
  </si>
  <si>
    <t xml:space="preserve">TX-00541</t>
  </si>
  <si>
    <t xml:space="preserve">TX-00542</t>
  </si>
  <si>
    <t xml:space="preserve">TX-00543</t>
  </si>
  <si>
    <t xml:space="preserve">TX-00544</t>
  </si>
  <si>
    <t xml:space="preserve">TX-00545</t>
  </si>
  <si>
    <t xml:space="preserve">TX-00546</t>
  </si>
  <si>
    <t xml:space="preserve">TX-00547</t>
  </si>
  <si>
    <t xml:space="preserve">TX-00548</t>
  </si>
  <si>
    <t xml:space="preserve">TX-00549</t>
  </si>
  <si>
    <t xml:space="preserve">TX-00550</t>
  </si>
  <si>
    <t xml:space="preserve">TX-00551</t>
  </si>
  <si>
    <t xml:space="preserve">TX-00552</t>
  </si>
  <si>
    <t xml:space="preserve">TX-00553</t>
  </si>
  <si>
    <t xml:space="preserve">TX-00554</t>
  </si>
  <si>
    <t xml:space="preserve">TX-00555</t>
  </si>
  <si>
    <t xml:space="preserve">TX-00556</t>
  </si>
  <si>
    <t xml:space="preserve">TX-00557</t>
  </si>
  <si>
    <t xml:space="preserve">TX-00558</t>
  </si>
  <si>
    <t xml:space="preserve">TX-00559</t>
  </si>
  <si>
    <t xml:space="preserve">TX-00560</t>
  </si>
  <si>
    <t xml:space="preserve">TX-00561</t>
  </si>
  <si>
    <t xml:space="preserve">TX-00562</t>
  </si>
  <si>
    <t xml:space="preserve">TX-00563</t>
  </si>
  <si>
    <t xml:space="preserve">TX-00564</t>
  </si>
  <si>
    <t xml:space="preserve">TX-00565</t>
  </si>
  <si>
    <t xml:space="preserve">TX-00566</t>
  </si>
  <si>
    <t xml:space="preserve">TX-00567</t>
  </si>
  <si>
    <t xml:space="preserve">TX-00568</t>
  </si>
  <si>
    <t xml:space="preserve">TX-00569</t>
  </si>
  <si>
    <t xml:space="preserve">TX-00570</t>
  </si>
  <si>
    <t xml:space="preserve">TX-00571</t>
  </si>
  <si>
    <t xml:space="preserve">TX-00572</t>
  </si>
  <si>
    <t xml:space="preserve">TX-00573</t>
  </si>
  <si>
    <t xml:space="preserve">TX-00574</t>
  </si>
  <si>
    <t xml:space="preserve">TX-00575</t>
  </si>
  <si>
    <t xml:space="preserve">TX-00576</t>
  </si>
  <si>
    <t xml:space="preserve">TX-00577</t>
  </si>
  <si>
    <t xml:space="preserve">TX-00578</t>
  </si>
  <si>
    <t xml:space="preserve">TX-00579</t>
  </si>
  <si>
    <t xml:space="preserve">TX-00580</t>
  </si>
  <si>
    <t xml:space="preserve">TX-00581</t>
  </si>
  <si>
    <t xml:space="preserve">TX-00582</t>
  </si>
  <si>
    <t xml:space="preserve">TX-00583</t>
  </si>
  <si>
    <t xml:space="preserve">TX-00584</t>
  </si>
  <si>
    <t xml:space="preserve">TX-00585</t>
  </si>
  <si>
    <t xml:space="preserve">TX-00586</t>
  </si>
  <si>
    <t xml:space="preserve">TX-00587</t>
  </si>
  <si>
    <t xml:space="preserve">TX-00588</t>
  </si>
  <si>
    <t xml:space="preserve">TX-00589</t>
  </si>
  <si>
    <t xml:space="preserve">TX-00590</t>
  </si>
  <si>
    <t xml:space="preserve">TX-00591</t>
  </si>
  <si>
    <t xml:space="preserve">TX-00592</t>
  </si>
  <si>
    <t xml:space="preserve">TX-00593</t>
  </si>
  <si>
    <t xml:space="preserve">TX-00594</t>
  </si>
  <si>
    <t xml:space="preserve">TX-00595</t>
  </si>
  <si>
    <t xml:space="preserve">TX-00596</t>
  </si>
  <si>
    <t xml:space="preserve">TX-00597</t>
  </si>
  <si>
    <t xml:space="preserve">TX-00598</t>
  </si>
  <si>
    <t xml:space="preserve">TX-00599</t>
  </si>
  <si>
    <t xml:space="preserve">TX-00600</t>
  </si>
  <si>
    <t xml:space="preserve">TX-00601</t>
  </si>
  <si>
    <t xml:space="preserve">TX-00602</t>
  </si>
  <si>
    <t xml:space="preserve">TX-00603</t>
  </si>
  <si>
    <t xml:space="preserve">TX-00604</t>
  </si>
  <si>
    <t xml:space="preserve">TX-00605</t>
  </si>
  <si>
    <t xml:space="preserve">TX-00606</t>
  </si>
  <si>
    <t xml:space="preserve">TX-00607</t>
  </si>
  <si>
    <t xml:space="preserve">TX-00608</t>
  </si>
  <si>
    <t xml:space="preserve">TX-00609</t>
  </si>
  <si>
    <t xml:space="preserve">TX-00610</t>
  </si>
  <si>
    <t xml:space="preserve">TX-00611</t>
  </si>
  <si>
    <t xml:space="preserve">TX-00612</t>
  </si>
  <si>
    <t xml:space="preserve">TX-00613</t>
  </si>
  <si>
    <t xml:space="preserve">TX-00614</t>
  </si>
  <si>
    <t xml:space="preserve">TX-00615</t>
  </si>
  <si>
    <t xml:space="preserve">TX-00616</t>
  </si>
  <si>
    <t xml:space="preserve">TX-00617</t>
  </si>
  <si>
    <t xml:space="preserve">TX-00618</t>
  </si>
  <si>
    <t xml:space="preserve">TX-00619</t>
  </si>
  <si>
    <t xml:space="preserve">TX-00620</t>
  </si>
  <si>
    <t xml:space="preserve">TX-00621</t>
  </si>
  <si>
    <t xml:space="preserve">TX-00622</t>
  </si>
  <si>
    <t xml:space="preserve">TX-00623</t>
  </si>
  <si>
    <t xml:space="preserve">TX-00624</t>
  </si>
  <si>
    <t xml:space="preserve">TX-00625</t>
  </si>
  <si>
    <t xml:space="preserve">TX-00626</t>
  </si>
  <si>
    <t xml:space="preserve">TX-00627</t>
  </si>
  <si>
    <t xml:space="preserve">TX-00628</t>
  </si>
  <si>
    <t xml:space="preserve">TX-00629</t>
  </si>
  <si>
    <t xml:space="preserve">TX-00630</t>
  </si>
  <si>
    <t xml:space="preserve">TX-00631</t>
  </si>
  <si>
    <t xml:space="preserve">TX-00632</t>
  </si>
  <si>
    <t xml:space="preserve">TX-00633</t>
  </si>
  <si>
    <t xml:space="preserve">TX-00634</t>
  </si>
  <si>
    <t xml:space="preserve">TX-00635</t>
  </si>
  <si>
    <t xml:space="preserve">TX-00636</t>
  </si>
  <si>
    <t xml:space="preserve">TX-00637</t>
  </si>
  <si>
    <t xml:space="preserve">TX-00638</t>
  </si>
  <si>
    <t xml:space="preserve">TX-00639</t>
  </si>
  <si>
    <t xml:space="preserve">TX-00640</t>
  </si>
  <si>
    <t xml:space="preserve">TX-00641</t>
  </si>
  <si>
    <t xml:space="preserve">TX-00642</t>
  </si>
  <si>
    <t xml:space="preserve">TX-00643</t>
  </si>
  <si>
    <t xml:space="preserve">TX-00644</t>
  </si>
  <si>
    <t xml:space="preserve">TX-00645</t>
  </si>
  <si>
    <t xml:space="preserve">TX-00646</t>
  </si>
  <si>
    <t xml:space="preserve">TX-00647</t>
  </si>
  <si>
    <t xml:space="preserve">TX-00648</t>
  </si>
  <si>
    <t xml:space="preserve">TX-00649</t>
  </si>
  <si>
    <t xml:space="preserve">TX-00650</t>
  </si>
  <si>
    <t xml:space="preserve">TX-00651</t>
  </si>
  <si>
    <t xml:space="preserve">TX-00652</t>
  </si>
  <si>
    <t xml:space="preserve">TX-00653</t>
  </si>
  <si>
    <t xml:space="preserve">TX-00654</t>
  </si>
  <si>
    <t xml:space="preserve">TX-00655</t>
  </si>
  <si>
    <t xml:space="preserve">TX-00656</t>
  </si>
  <si>
    <t xml:space="preserve">TX-00657</t>
  </si>
  <si>
    <t xml:space="preserve">TX-00658</t>
  </si>
  <si>
    <t xml:space="preserve">TX-00659</t>
  </si>
  <si>
    <t xml:space="preserve">TX-00660</t>
  </si>
  <si>
    <t xml:space="preserve">TX-00661</t>
  </si>
  <si>
    <t xml:space="preserve">TX-00662</t>
  </si>
  <si>
    <t xml:space="preserve">TX-00663</t>
  </si>
  <si>
    <t xml:space="preserve">TX-00664</t>
  </si>
  <si>
    <t xml:space="preserve">TX-00665</t>
  </si>
  <si>
    <t xml:space="preserve">TX-00666</t>
  </si>
  <si>
    <t xml:space="preserve">TX-00667</t>
  </si>
  <si>
    <t xml:space="preserve">TX-00668</t>
  </si>
  <si>
    <t xml:space="preserve">TX-00669</t>
  </si>
  <si>
    <t xml:space="preserve">TX-00670</t>
  </si>
  <si>
    <t xml:space="preserve">TX-00671</t>
  </si>
  <si>
    <t xml:space="preserve">TX-00672</t>
  </si>
  <si>
    <t xml:space="preserve">TX-00673</t>
  </si>
  <si>
    <t xml:space="preserve">TX-00674</t>
  </si>
  <si>
    <t xml:space="preserve">TX-00675</t>
  </si>
  <si>
    <t xml:space="preserve">TX-00676</t>
  </si>
  <si>
    <t xml:space="preserve">TX-00677</t>
  </si>
  <si>
    <t xml:space="preserve">TX-00678</t>
  </si>
  <si>
    <t xml:space="preserve">TX-00679</t>
  </si>
  <si>
    <t xml:space="preserve">TX-00680</t>
  </si>
  <si>
    <t xml:space="preserve">TX-00681</t>
  </si>
  <si>
    <t xml:space="preserve">TX-00682</t>
  </si>
  <si>
    <t xml:space="preserve">TX-00683</t>
  </si>
  <si>
    <t xml:space="preserve">TX-00684</t>
  </si>
  <si>
    <t xml:space="preserve">TX-00685</t>
  </si>
  <si>
    <t xml:space="preserve">TX-00686</t>
  </si>
  <si>
    <t xml:space="preserve">TX-00687</t>
  </si>
  <si>
    <t xml:space="preserve">TX-00688</t>
  </si>
  <si>
    <t xml:space="preserve">TX-00689</t>
  </si>
  <si>
    <t xml:space="preserve">TX-00690</t>
  </si>
  <si>
    <t xml:space="preserve">TX-00691</t>
  </si>
  <si>
    <t xml:space="preserve">TX-00692</t>
  </si>
  <si>
    <t xml:space="preserve">TX-00693</t>
  </si>
  <si>
    <t xml:space="preserve">TX-00694</t>
  </si>
  <si>
    <t xml:space="preserve">TX-00695</t>
  </si>
  <si>
    <t xml:space="preserve">TX-00696</t>
  </si>
  <si>
    <t xml:space="preserve">TX-00697</t>
  </si>
  <si>
    <t xml:space="preserve">TX-00698</t>
  </si>
  <si>
    <t xml:space="preserve">TX-00699</t>
  </si>
  <si>
    <t xml:space="preserve">TX-00700</t>
  </si>
  <si>
    <t xml:space="preserve">TX-00701</t>
  </si>
  <si>
    <t xml:space="preserve">TX-00702</t>
  </si>
  <si>
    <t xml:space="preserve">TX-00703</t>
  </si>
  <si>
    <t xml:space="preserve">TX-00704</t>
  </si>
  <si>
    <t xml:space="preserve">TX-00705</t>
  </si>
  <si>
    <t xml:space="preserve">TX-00706</t>
  </si>
  <si>
    <t xml:space="preserve">TX-00707</t>
  </si>
  <si>
    <t xml:space="preserve">TX-00708</t>
  </si>
  <si>
    <t xml:space="preserve">TX-00709</t>
  </si>
  <si>
    <t xml:space="preserve">TX-00710</t>
  </si>
  <si>
    <t xml:space="preserve">TX-00711</t>
  </si>
  <si>
    <t xml:space="preserve">TX-00712</t>
  </si>
  <si>
    <t xml:space="preserve">TX-00713</t>
  </si>
  <si>
    <t xml:space="preserve">TX-00714</t>
  </si>
  <si>
    <t xml:space="preserve">TX-00715</t>
  </si>
  <si>
    <t xml:space="preserve">TX-00716</t>
  </si>
  <si>
    <t xml:space="preserve">TX-00717</t>
  </si>
  <si>
    <t xml:space="preserve">TX-00718</t>
  </si>
  <si>
    <t xml:space="preserve">TX-00719</t>
  </si>
  <si>
    <t xml:space="preserve">TX-00720</t>
  </si>
  <si>
    <t xml:space="preserve">TX-00721</t>
  </si>
  <si>
    <t xml:space="preserve">TX-00722</t>
  </si>
  <si>
    <t xml:space="preserve">TX-00723</t>
  </si>
  <si>
    <t xml:space="preserve">TX-00724</t>
  </si>
  <si>
    <t xml:space="preserve">TX-00725</t>
  </si>
  <si>
    <t xml:space="preserve">TX-00726</t>
  </si>
  <si>
    <t xml:space="preserve">TX-00727</t>
  </si>
  <si>
    <t xml:space="preserve">TX-00728</t>
  </si>
  <si>
    <t xml:space="preserve">TX-00729</t>
  </si>
  <si>
    <t xml:space="preserve">TX-00730</t>
  </si>
  <si>
    <t xml:space="preserve">TX-00731</t>
  </si>
  <si>
    <t xml:space="preserve">TX-00732</t>
  </si>
  <si>
    <t xml:space="preserve">TX-00733</t>
  </si>
  <si>
    <t xml:space="preserve">TX-00734</t>
  </si>
  <si>
    <t xml:space="preserve">TX-00735</t>
  </si>
  <si>
    <t xml:space="preserve">TX-00736</t>
  </si>
  <si>
    <t xml:space="preserve">TX-00737</t>
  </si>
  <si>
    <t xml:space="preserve">TX-00738</t>
  </si>
  <si>
    <t xml:space="preserve">TX-00739</t>
  </si>
  <si>
    <t xml:space="preserve">TX-00740</t>
  </si>
  <si>
    <t xml:space="preserve">TX-00741</t>
  </si>
  <si>
    <t xml:space="preserve">TX-00742</t>
  </si>
  <si>
    <t xml:space="preserve">TX-00743</t>
  </si>
  <si>
    <t xml:space="preserve">TX-00744</t>
  </si>
  <si>
    <t xml:space="preserve">TX-00745</t>
  </si>
  <si>
    <t xml:space="preserve">TX-00746</t>
  </si>
  <si>
    <t xml:space="preserve">TX-00747</t>
  </si>
  <si>
    <t xml:space="preserve">TX-00748</t>
  </si>
  <si>
    <t xml:space="preserve">TX-00749</t>
  </si>
  <si>
    <t xml:space="preserve">TX-00750</t>
  </si>
  <si>
    <t xml:space="preserve">TX-00751</t>
  </si>
  <si>
    <t xml:space="preserve">TX-00752</t>
  </si>
  <si>
    <t xml:space="preserve">TX-00753</t>
  </si>
  <si>
    <t xml:space="preserve">TX-00754</t>
  </si>
  <si>
    <t xml:space="preserve">TX-00755</t>
  </si>
  <si>
    <t xml:space="preserve">TX-00756</t>
  </si>
  <si>
    <t xml:space="preserve">TX-00757</t>
  </si>
  <si>
    <t xml:space="preserve">TX-00758</t>
  </si>
  <si>
    <t xml:space="preserve">TX-00759</t>
  </si>
  <si>
    <t xml:space="preserve">TX-00760</t>
  </si>
  <si>
    <t xml:space="preserve">TX-00761</t>
  </si>
  <si>
    <t xml:space="preserve">TX-00762</t>
  </si>
  <si>
    <t xml:space="preserve">TX-00763</t>
  </si>
  <si>
    <t xml:space="preserve">TX-00764</t>
  </si>
  <si>
    <t xml:space="preserve">TX-00765</t>
  </si>
  <si>
    <t xml:space="preserve">TX-00766</t>
  </si>
  <si>
    <t xml:space="preserve">TX-00767</t>
  </si>
  <si>
    <t xml:space="preserve">TX-00768</t>
  </si>
  <si>
    <t xml:space="preserve">TX-00769</t>
  </si>
  <si>
    <t xml:space="preserve">TX-00770</t>
  </si>
  <si>
    <t xml:space="preserve">TX-00771</t>
  </si>
  <si>
    <t xml:space="preserve">TX-00772</t>
  </si>
  <si>
    <t xml:space="preserve">TX-00773</t>
  </si>
  <si>
    <t xml:space="preserve">TX-00774</t>
  </si>
  <si>
    <t xml:space="preserve">TX-00775</t>
  </si>
  <si>
    <t xml:space="preserve">TX-00776</t>
  </si>
  <si>
    <t xml:space="preserve">TX-00777</t>
  </si>
  <si>
    <t xml:space="preserve">TX-00778</t>
  </si>
  <si>
    <t xml:space="preserve">TX-00779</t>
  </si>
  <si>
    <t xml:space="preserve">TX-00780</t>
  </si>
  <si>
    <t xml:space="preserve">TX-00781</t>
  </si>
  <si>
    <t xml:space="preserve">TX-00782</t>
  </si>
  <si>
    <t xml:space="preserve">TX-00783</t>
  </si>
  <si>
    <t xml:space="preserve">TX-00784</t>
  </si>
  <si>
    <t xml:space="preserve">TX-00785</t>
  </si>
  <si>
    <t xml:space="preserve">TX-00786</t>
  </si>
  <si>
    <t xml:space="preserve">TX-00787</t>
  </si>
  <si>
    <t xml:space="preserve">TX-00788</t>
  </si>
  <si>
    <t xml:space="preserve">TX-00789</t>
  </si>
  <si>
    <t xml:space="preserve">TX-00790</t>
  </si>
  <si>
    <t xml:space="preserve">TX-00791</t>
  </si>
  <si>
    <t xml:space="preserve">TX-00792</t>
  </si>
  <si>
    <t xml:space="preserve">TX-00793</t>
  </si>
  <si>
    <t xml:space="preserve">TX-00794</t>
  </si>
  <si>
    <t xml:space="preserve">TX-00795</t>
  </si>
  <si>
    <t xml:space="preserve">TX-00796</t>
  </si>
  <si>
    <t xml:space="preserve">TX-00797</t>
  </si>
  <si>
    <t xml:space="preserve">TX-00798</t>
  </si>
  <si>
    <t xml:space="preserve">TX-00799</t>
  </si>
  <si>
    <t xml:space="preserve">TX-00800</t>
  </si>
  <si>
    <t xml:space="preserve">TX-00801</t>
  </si>
  <si>
    <t xml:space="preserve">TX-00802</t>
  </si>
  <si>
    <t xml:space="preserve">TX-00803</t>
  </si>
  <si>
    <t xml:space="preserve">TX-00804</t>
  </si>
  <si>
    <t xml:space="preserve">TX-00805</t>
  </si>
  <si>
    <t xml:space="preserve">TX-00806</t>
  </si>
  <si>
    <t xml:space="preserve">TX-00807</t>
  </si>
  <si>
    <t xml:space="preserve">TX-00808</t>
  </si>
  <si>
    <t xml:space="preserve">TX-00809</t>
  </si>
  <si>
    <t xml:space="preserve">TX-00810</t>
  </si>
  <si>
    <t xml:space="preserve">TX-00811</t>
  </si>
  <si>
    <t xml:space="preserve">TX-00812</t>
  </si>
  <si>
    <t xml:space="preserve">TX-00813</t>
  </si>
  <si>
    <t xml:space="preserve">TX-00814</t>
  </si>
  <si>
    <t xml:space="preserve">TX-00815</t>
  </si>
  <si>
    <t xml:space="preserve">TX-00816</t>
  </si>
  <si>
    <t xml:space="preserve">TX-00817</t>
  </si>
  <si>
    <t xml:space="preserve">TX-00818</t>
  </si>
  <si>
    <t xml:space="preserve">TX-00819</t>
  </si>
  <si>
    <t xml:space="preserve">TX-00820</t>
  </si>
  <si>
    <t xml:space="preserve">TX-00821</t>
  </si>
  <si>
    <t xml:space="preserve">TX-00822</t>
  </si>
  <si>
    <t xml:space="preserve">TX-00823</t>
  </si>
  <si>
    <t xml:space="preserve">TX-00824</t>
  </si>
  <si>
    <t xml:space="preserve">TX-00825</t>
  </si>
  <si>
    <t xml:space="preserve">TX-00826</t>
  </si>
  <si>
    <t xml:space="preserve">TX-00827</t>
  </si>
  <si>
    <t xml:space="preserve">TX-00828</t>
  </si>
  <si>
    <t xml:space="preserve">TX-00829</t>
  </si>
  <si>
    <t xml:space="preserve">TX-00830</t>
  </si>
  <si>
    <t xml:space="preserve">TX-00831</t>
  </si>
  <si>
    <t xml:space="preserve">TX-00832</t>
  </si>
  <si>
    <t xml:space="preserve">TX-00833</t>
  </si>
  <si>
    <t xml:space="preserve">TX-00834</t>
  </si>
  <si>
    <t xml:space="preserve">TX-00835</t>
  </si>
  <si>
    <t xml:space="preserve">TX-00836</t>
  </si>
  <si>
    <t xml:space="preserve">TX-00837</t>
  </si>
  <si>
    <t xml:space="preserve">TX-00838</t>
  </si>
  <si>
    <t xml:space="preserve">TX-00839</t>
  </si>
  <si>
    <t xml:space="preserve">TX-00840</t>
  </si>
  <si>
    <t xml:space="preserve">TX-00841</t>
  </si>
  <si>
    <t xml:space="preserve">TX-00842</t>
  </si>
  <si>
    <t xml:space="preserve">TX-00843</t>
  </si>
  <si>
    <t xml:space="preserve">TX-00844</t>
  </si>
  <si>
    <t xml:space="preserve">TX-00845</t>
  </si>
  <si>
    <t xml:space="preserve">TX-00846</t>
  </si>
  <si>
    <t xml:space="preserve">TX-00847</t>
  </si>
  <si>
    <t xml:space="preserve">TX-00848</t>
  </si>
  <si>
    <t xml:space="preserve">TX-00849</t>
  </si>
  <si>
    <t xml:space="preserve">TX-00850</t>
  </si>
  <si>
    <t xml:space="preserve">TX-00851</t>
  </si>
  <si>
    <t xml:space="preserve">TX-00852</t>
  </si>
  <si>
    <t xml:space="preserve">TX-00853</t>
  </si>
  <si>
    <t xml:space="preserve">TX-00854</t>
  </si>
  <si>
    <t xml:space="preserve">TX-00855</t>
  </si>
  <si>
    <t xml:space="preserve">TX-00856</t>
  </si>
  <si>
    <t xml:space="preserve">TX-00857</t>
  </si>
  <si>
    <t xml:space="preserve">TX-00858</t>
  </si>
  <si>
    <t xml:space="preserve">TX-00859</t>
  </si>
  <si>
    <t xml:space="preserve">TX-00860</t>
  </si>
  <si>
    <t xml:space="preserve">TX-00861</t>
  </si>
  <si>
    <t xml:space="preserve">TX-00862</t>
  </si>
  <si>
    <t xml:space="preserve">TX-00863</t>
  </si>
  <si>
    <t xml:space="preserve">TX-00864</t>
  </si>
  <si>
    <t xml:space="preserve">TX-00865</t>
  </si>
  <si>
    <t xml:space="preserve">TX-00866</t>
  </si>
  <si>
    <t xml:space="preserve">TX-00867</t>
  </si>
  <si>
    <t xml:space="preserve">TX-00868</t>
  </si>
  <si>
    <t xml:space="preserve">TX-00869</t>
  </si>
  <si>
    <t xml:space="preserve">TX-00870</t>
  </si>
  <si>
    <t xml:space="preserve">TX-00871</t>
  </si>
  <si>
    <t xml:space="preserve">TX-00872</t>
  </si>
  <si>
    <t xml:space="preserve">TX-00873</t>
  </si>
  <si>
    <t xml:space="preserve">TX-00874</t>
  </si>
  <si>
    <t xml:space="preserve">TX-00875</t>
  </si>
  <si>
    <t xml:space="preserve">TX-00876</t>
  </si>
  <si>
    <t xml:space="preserve">TX-00877</t>
  </si>
  <si>
    <t xml:space="preserve">TX-00878</t>
  </si>
  <si>
    <t xml:space="preserve">TX-00879</t>
  </si>
  <si>
    <t xml:space="preserve">TX-00880</t>
  </si>
  <si>
    <t xml:space="preserve">TX-00881</t>
  </si>
  <si>
    <t xml:space="preserve">TX-00882</t>
  </si>
  <si>
    <t xml:space="preserve">TX-00883</t>
  </si>
  <si>
    <t xml:space="preserve">TX-00884</t>
  </si>
  <si>
    <t xml:space="preserve">TX-00885</t>
  </si>
  <si>
    <t xml:space="preserve">TX-00886</t>
  </si>
  <si>
    <t xml:space="preserve">TX-00887</t>
  </si>
  <si>
    <t xml:space="preserve">TX-00888</t>
  </si>
  <si>
    <t xml:space="preserve">TX-00889</t>
  </si>
  <si>
    <t xml:space="preserve">TX-00890</t>
  </si>
  <si>
    <t xml:space="preserve">TX-00891</t>
  </si>
  <si>
    <t xml:space="preserve">TX-00892</t>
  </si>
  <si>
    <t xml:space="preserve">TX-00893</t>
  </si>
  <si>
    <t xml:space="preserve">TX-00894</t>
  </si>
  <si>
    <t xml:space="preserve">TX-00895</t>
  </si>
  <si>
    <t xml:space="preserve">TX-00896</t>
  </si>
  <si>
    <t xml:space="preserve">TX-00897</t>
  </si>
  <si>
    <t xml:space="preserve">TX-00898</t>
  </si>
  <si>
    <t xml:space="preserve">TX-00899</t>
  </si>
  <si>
    <t xml:space="preserve">TX-00900</t>
  </si>
  <si>
    <t xml:space="preserve">TX-00901</t>
  </si>
  <si>
    <t xml:space="preserve">TX-00902</t>
  </si>
  <si>
    <t xml:space="preserve">TX-00903</t>
  </si>
  <si>
    <t xml:space="preserve">TX-00904</t>
  </si>
  <si>
    <t xml:space="preserve">TX-00905</t>
  </si>
  <si>
    <t xml:space="preserve">TX-00906</t>
  </si>
  <si>
    <t xml:space="preserve">TX-00907</t>
  </si>
  <si>
    <t xml:space="preserve">TX-00908</t>
  </si>
  <si>
    <t xml:space="preserve">TX-00909</t>
  </si>
  <si>
    <t xml:space="preserve">TX-00910</t>
  </si>
  <si>
    <t xml:space="preserve">TX-00911</t>
  </si>
  <si>
    <t xml:space="preserve">TX-00912</t>
  </si>
  <si>
    <t xml:space="preserve">TX-00913</t>
  </si>
  <si>
    <t xml:space="preserve">TX-00914</t>
  </si>
  <si>
    <t xml:space="preserve">TX-00915</t>
  </si>
  <si>
    <t xml:space="preserve">TX-00916</t>
  </si>
  <si>
    <t xml:space="preserve">TX-00917</t>
  </si>
  <si>
    <t xml:space="preserve">TX-00918</t>
  </si>
  <si>
    <t xml:space="preserve">TX-00919</t>
  </si>
  <si>
    <t xml:space="preserve">TX-00920</t>
  </si>
  <si>
    <t xml:space="preserve">TX-00921</t>
  </si>
  <si>
    <t xml:space="preserve">TX-00922</t>
  </si>
  <si>
    <t xml:space="preserve">TX-00923</t>
  </si>
  <si>
    <t xml:space="preserve">TX-00924</t>
  </si>
  <si>
    <t xml:space="preserve">TX-00925</t>
  </si>
  <si>
    <t xml:space="preserve">TX-00926</t>
  </si>
  <si>
    <t xml:space="preserve">TX-00927</t>
  </si>
  <si>
    <t xml:space="preserve">TX-00928</t>
  </si>
  <si>
    <t xml:space="preserve">TX-00929</t>
  </si>
  <si>
    <t xml:space="preserve">TX-00930</t>
  </si>
  <si>
    <t xml:space="preserve">TX-00931</t>
  </si>
  <si>
    <t xml:space="preserve">TX-00932</t>
  </si>
  <si>
    <t xml:space="preserve">TX-00933</t>
  </si>
  <si>
    <t xml:space="preserve">TX-00934</t>
  </si>
  <si>
    <t xml:space="preserve">TX-00935</t>
  </si>
  <si>
    <t xml:space="preserve">TX-00936</t>
  </si>
  <si>
    <t xml:space="preserve">TX-00937</t>
  </si>
  <si>
    <t xml:space="preserve">TX-00938</t>
  </si>
  <si>
    <t xml:space="preserve">TX-00939</t>
  </si>
  <si>
    <t xml:space="preserve">TX-00940</t>
  </si>
  <si>
    <t xml:space="preserve">TX-00941</t>
  </si>
  <si>
    <t xml:space="preserve">TX-00942</t>
  </si>
  <si>
    <t xml:space="preserve">TX-00943</t>
  </si>
  <si>
    <t xml:space="preserve">TX-00944</t>
  </si>
  <si>
    <t xml:space="preserve">TX-00945</t>
  </si>
  <si>
    <t xml:space="preserve">TX-00946</t>
  </si>
  <si>
    <t xml:space="preserve">TX-00947</t>
  </si>
  <si>
    <t xml:space="preserve">TX-00948</t>
  </si>
  <si>
    <t xml:space="preserve">TX-00949</t>
  </si>
  <si>
    <t xml:space="preserve">TX-00950</t>
  </si>
  <si>
    <t xml:space="preserve">TX-00951</t>
  </si>
  <si>
    <t xml:space="preserve">TX-00952</t>
  </si>
  <si>
    <t xml:space="preserve">TX-00953</t>
  </si>
  <si>
    <t xml:space="preserve">TX-00954</t>
  </si>
  <si>
    <t xml:space="preserve">TX-00955</t>
  </si>
  <si>
    <t xml:space="preserve">TX-00956</t>
  </si>
  <si>
    <t xml:space="preserve">TX-00957</t>
  </si>
  <si>
    <t xml:space="preserve">TX-00958</t>
  </si>
  <si>
    <t xml:space="preserve">TX-00959</t>
  </si>
  <si>
    <t xml:space="preserve">TX-00960</t>
  </si>
  <si>
    <t xml:space="preserve">TX-00961</t>
  </si>
  <si>
    <t xml:space="preserve">TX-00962</t>
  </si>
  <si>
    <t xml:space="preserve">TX-00963</t>
  </si>
  <si>
    <t xml:space="preserve">TX-00964</t>
  </si>
  <si>
    <t xml:space="preserve">TX-00965</t>
  </si>
  <si>
    <t xml:space="preserve">TX-00966</t>
  </si>
  <si>
    <t xml:space="preserve">TX-00967</t>
  </si>
  <si>
    <t xml:space="preserve">TX-00968</t>
  </si>
  <si>
    <t xml:space="preserve">TX-00969</t>
  </si>
  <si>
    <t xml:space="preserve">TX-00970</t>
  </si>
  <si>
    <t xml:space="preserve">TX-00971</t>
  </si>
  <si>
    <t xml:space="preserve">TX-00972</t>
  </si>
  <si>
    <t xml:space="preserve">TX-00973</t>
  </si>
  <si>
    <t xml:space="preserve">TX-00974</t>
  </si>
  <si>
    <t xml:space="preserve">TX-00975</t>
  </si>
  <si>
    <t xml:space="preserve">TX-00976</t>
  </si>
  <si>
    <t xml:space="preserve">TX-00977</t>
  </si>
  <si>
    <t xml:space="preserve">TX-00978</t>
  </si>
  <si>
    <t xml:space="preserve">TX-00979</t>
  </si>
  <si>
    <t xml:space="preserve">TX-00980</t>
  </si>
  <si>
    <t xml:space="preserve">TX-00981</t>
  </si>
  <si>
    <t xml:space="preserve">TX-00982</t>
  </si>
  <si>
    <t xml:space="preserve">TX-00983</t>
  </si>
  <si>
    <t xml:space="preserve">TX-00984</t>
  </si>
  <si>
    <t xml:space="preserve">TX-00985</t>
  </si>
  <si>
    <t xml:space="preserve">TX-00986</t>
  </si>
  <si>
    <t xml:space="preserve">TX-00987</t>
  </si>
  <si>
    <t xml:space="preserve">TX-00988</t>
  </si>
  <si>
    <t xml:space="preserve">TX-00989</t>
  </si>
  <si>
    <t xml:space="preserve">TX-00990</t>
  </si>
  <si>
    <t xml:space="preserve">TX-00991</t>
  </si>
  <si>
    <t xml:space="preserve">TX-00992</t>
  </si>
  <si>
    <t xml:space="preserve">TX-00993</t>
  </si>
  <si>
    <t xml:space="preserve">TX-00994</t>
  </si>
  <si>
    <t xml:space="preserve">TX-00995</t>
  </si>
  <si>
    <t xml:space="preserve">TX-00996</t>
  </si>
  <si>
    <t xml:space="preserve">TX-00997</t>
  </si>
  <si>
    <t xml:space="preserve">TX-00998</t>
  </si>
  <si>
    <t xml:space="preserve">TX-00999</t>
  </si>
  <si>
    <t xml:space="preserve">TX-01000</t>
  </si>
  <si>
    <t xml:space="preserve">TX-01001</t>
  </si>
  <si>
    <t xml:space="preserve">TX-01002</t>
  </si>
  <si>
    <t xml:space="preserve">TX-01003</t>
  </si>
  <si>
    <t xml:space="preserve">TX-01004</t>
  </si>
  <si>
    <t xml:space="preserve">TX-01005</t>
  </si>
  <si>
    <t xml:space="preserve">TX-01006</t>
  </si>
  <si>
    <t xml:space="preserve">TX-01007</t>
  </si>
  <si>
    <t xml:space="preserve">TX-01008</t>
  </si>
  <si>
    <t xml:space="preserve">TX-01009</t>
  </si>
  <si>
    <t xml:space="preserve">TX-01010</t>
  </si>
  <si>
    <t xml:space="preserve">TX-01011</t>
  </si>
  <si>
    <t xml:space="preserve">TX-01012</t>
  </si>
  <si>
    <t xml:space="preserve">TX-01013</t>
  </si>
  <si>
    <t xml:space="preserve">TX-01014</t>
  </si>
  <si>
    <t xml:space="preserve">TX-01015</t>
  </si>
  <si>
    <t xml:space="preserve">TX-01016</t>
  </si>
  <si>
    <t xml:space="preserve">TX-01017</t>
  </si>
  <si>
    <t xml:space="preserve">TX-01018</t>
  </si>
  <si>
    <t xml:space="preserve">TX-01019</t>
  </si>
  <si>
    <t xml:space="preserve">TX-01020</t>
  </si>
  <si>
    <t xml:space="preserve">TX-01021</t>
  </si>
  <si>
    <t xml:space="preserve">TX-01022</t>
  </si>
  <si>
    <t xml:space="preserve">TX-01023</t>
  </si>
  <si>
    <t xml:space="preserve">TX-01024</t>
  </si>
  <si>
    <t xml:space="preserve">TX-01025</t>
  </si>
  <si>
    <t xml:space="preserve">TX-01026</t>
  </si>
  <si>
    <t xml:space="preserve">TX-01027</t>
  </si>
  <si>
    <t xml:space="preserve">TX-01028</t>
  </si>
  <si>
    <t xml:space="preserve">TX-01029</t>
  </si>
  <si>
    <t xml:space="preserve">TX-01030</t>
  </si>
  <si>
    <t xml:space="preserve">TX-01031</t>
  </si>
  <si>
    <t xml:space="preserve">TX-01032</t>
  </si>
  <si>
    <t xml:space="preserve">TX-01033</t>
  </si>
  <si>
    <t xml:space="preserve">TX-01034</t>
  </si>
  <si>
    <t xml:space="preserve">TX-01035</t>
  </si>
  <si>
    <t xml:space="preserve">TX-01036</t>
  </si>
  <si>
    <t xml:space="preserve">TX-01037</t>
  </si>
  <si>
    <t xml:space="preserve">TX-01038</t>
  </si>
  <si>
    <t xml:space="preserve">TX-01039</t>
  </si>
  <si>
    <t xml:space="preserve">TX-01040</t>
  </si>
  <si>
    <t xml:space="preserve">TX-01041</t>
  </si>
  <si>
    <t xml:space="preserve">TX-01042</t>
  </si>
  <si>
    <t xml:space="preserve">TX-01043</t>
  </si>
  <si>
    <t xml:space="preserve">TX-01044</t>
  </si>
  <si>
    <t xml:space="preserve">TX-01045</t>
  </si>
  <si>
    <t xml:space="preserve">TX-01046</t>
  </si>
  <si>
    <t xml:space="preserve">TX-01047</t>
  </si>
  <si>
    <t xml:space="preserve">TX-01048</t>
  </si>
  <si>
    <t xml:space="preserve">TX-01049</t>
  </si>
  <si>
    <t xml:space="preserve">TX-01050</t>
  </si>
  <si>
    <t xml:space="preserve">TX-01051</t>
  </si>
  <si>
    <t xml:space="preserve">TX-01052</t>
  </si>
  <si>
    <t xml:space="preserve">TX-01053</t>
  </si>
  <si>
    <t xml:space="preserve">TX-01054</t>
  </si>
  <si>
    <t xml:space="preserve">TX-01055</t>
  </si>
  <si>
    <t xml:space="preserve">TX-01056</t>
  </si>
  <si>
    <t xml:space="preserve">TX-01057</t>
  </si>
  <si>
    <t xml:space="preserve">TX-01058</t>
  </si>
  <si>
    <t xml:space="preserve">TX-01059</t>
  </si>
  <si>
    <t xml:space="preserve">TX-01060</t>
  </si>
  <si>
    <t xml:space="preserve">TX-01061</t>
  </si>
  <si>
    <t xml:space="preserve">TX-01062</t>
  </si>
  <si>
    <t xml:space="preserve">TX-01063</t>
  </si>
  <si>
    <t xml:space="preserve">TX-01064</t>
  </si>
  <si>
    <t xml:space="preserve">TX-01065</t>
  </si>
  <si>
    <t xml:space="preserve">TX-01066</t>
  </si>
  <si>
    <t xml:space="preserve">TX-01067</t>
  </si>
  <si>
    <t xml:space="preserve">TX-01068</t>
  </si>
  <si>
    <t xml:space="preserve">TX-01069</t>
  </si>
  <si>
    <t xml:space="preserve">TX-01070</t>
  </si>
  <si>
    <t xml:space="preserve">TX-01071</t>
  </si>
  <si>
    <t xml:space="preserve">TX-01072</t>
  </si>
  <si>
    <t xml:space="preserve">TX-01073</t>
  </si>
  <si>
    <t xml:space="preserve">TX-01074</t>
  </si>
  <si>
    <t xml:space="preserve">TX-01075</t>
  </si>
  <si>
    <t xml:space="preserve">TX-01076</t>
  </si>
  <si>
    <t xml:space="preserve">TX-01077</t>
  </si>
  <si>
    <t xml:space="preserve">TX-01078</t>
  </si>
  <si>
    <t xml:space="preserve">TX-01079</t>
  </si>
  <si>
    <t xml:space="preserve">TX-01080</t>
  </si>
  <si>
    <t xml:space="preserve">TX-01081</t>
  </si>
  <si>
    <t xml:space="preserve">TX-01082</t>
  </si>
  <si>
    <t xml:space="preserve">TX-01083</t>
  </si>
  <si>
    <t xml:space="preserve">TX-01084</t>
  </si>
  <si>
    <t xml:space="preserve">TX-01085</t>
  </si>
  <si>
    <t xml:space="preserve">TX-01086</t>
  </si>
  <si>
    <t xml:space="preserve">TX-01087</t>
  </si>
  <si>
    <t xml:space="preserve">TX-01088</t>
  </si>
  <si>
    <t xml:space="preserve">TX-01089</t>
  </si>
  <si>
    <t xml:space="preserve">TX-01090</t>
  </si>
  <si>
    <t xml:space="preserve">TX-01091</t>
  </si>
  <si>
    <t xml:space="preserve">TX-01092</t>
  </si>
  <si>
    <t xml:space="preserve">TX-01093</t>
  </si>
  <si>
    <t xml:space="preserve">TX-01094</t>
  </si>
  <si>
    <t xml:space="preserve">TX-01095</t>
  </si>
  <si>
    <t xml:space="preserve">TX-01096</t>
  </si>
  <si>
    <t xml:space="preserve">TX-01097</t>
  </si>
  <si>
    <t xml:space="preserve">TX-01098</t>
  </si>
  <si>
    <t xml:space="preserve">TX-01099</t>
  </si>
  <si>
    <t xml:space="preserve">TX-01100</t>
  </si>
  <si>
    <t xml:space="preserve">TX-01101</t>
  </si>
  <si>
    <t xml:space="preserve">TX-01102</t>
  </si>
  <si>
    <t xml:space="preserve">TX-01103</t>
  </si>
  <si>
    <t xml:space="preserve">TX-01104</t>
  </si>
  <si>
    <t xml:space="preserve">TX-01105</t>
  </si>
  <si>
    <t xml:space="preserve">TX-01106</t>
  </si>
  <si>
    <t xml:space="preserve">TX-01107</t>
  </si>
  <si>
    <t xml:space="preserve">TX-01108</t>
  </si>
  <si>
    <t xml:space="preserve">TX-01109</t>
  </si>
  <si>
    <t xml:space="preserve">TX-01110</t>
  </si>
  <si>
    <t xml:space="preserve">TX-01111</t>
  </si>
  <si>
    <t xml:space="preserve">TX-01112</t>
  </si>
  <si>
    <t xml:space="preserve">TX-01113</t>
  </si>
  <si>
    <t xml:space="preserve">TX-01114</t>
  </si>
  <si>
    <t xml:space="preserve">TX-01115</t>
  </si>
  <si>
    <t xml:space="preserve">TX-01116</t>
  </si>
  <si>
    <t xml:space="preserve">TX-01117</t>
  </si>
  <si>
    <t xml:space="preserve">TX-01118</t>
  </si>
  <si>
    <t xml:space="preserve">TX-01119</t>
  </si>
  <si>
    <t xml:space="preserve">TX-01120</t>
  </si>
  <si>
    <t xml:space="preserve">TX-01121</t>
  </si>
  <si>
    <t xml:space="preserve">TX-01122</t>
  </si>
  <si>
    <t xml:space="preserve">TX-01123</t>
  </si>
  <si>
    <t xml:space="preserve">TX-01124</t>
  </si>
  <si>
    <t xml:space="preserve">TX-01125</t>
  </si>
  <si>
    <t xml:space="preserve">TX-01126</t>
  </si>
  <si>
    <t xml:space="preserve">TX-01127</t>
  </si>
  <si>
    <t xml:space="preserve">TX-01128</t>
  </si>
  <si>
    <t xml:space="preserve">TX-01129</t>
  </si>
  <si>
    <t xml:space="preserve">TX-01130</t>
  </si>
  <si>
    <t xml:space="preserve">TX-01131</t>
  </si>
  <si>
    <t xml:space="preserve">TX-01132</t>
  </si>
  <si>
    <t xml:space="preserve">TX-01133</t>
  </si>
  <si>
    <t xml:space="preserve">TX-01134</t>
  </si>
  <si>
    <t xml:space="preserve">TX-01135</t>
  </si>
  <si>
    <t xml:space="preserve">TX-01136</t>
  </si>
  <si>
    <t xml:space="preserve">TX-01137</t>
  </si>
  <si>
    <t xml:space="preserve">TX-01138</t>
  </si>
  <si>
    <t xml:space="preserve">TX-01139</t>
  </si>
  <si>
    <t xml:space="preserve">TX-01140</t>
  </si>
  <si>
    <t xml:space="preserve">TX-01141</t>
  </si>
  <si>
    <t xml:space="preserve">TX-01142</t>
  </si>
  <si>
    <t xml:space="preserve">TX-01143</t>
  </si>
  <si>
    <t xml:space="preserve">TX-01144</t>
  </si>
  <si>
    <t xml:space="preserve">TX-01145</t>
  </si>
  <si>
    <t xml:space="preserve">TX-01146</t>
  </si>
  <si>
    <t xml:space="preserve">TX-01147</t>
  </si>
  <si>
    <t xml:space="preserve">TX-01148</t>
  </si>
  <si>
    <t xml:space="preserve">TX-01149</t>
  </si>
  <si>
    <t xml:space="preserve">TX-01150</t>
  </si>
  <si>
    <t xml:space="preserve">TX-01151</t>
  </si>
  <si>
    <t xml:space="preserve">TX-01152</t>
  </si>
  <si>
    <t xml:space="preserve">TX-01153</t>
  </si>
  <si>
    <t xml:space="preserve">TX-01154</t>
  </si>
  <si>
    <t xml:space="preserve">TX-01155</t>
  </si>
  <si>
    <t xml:space="preserve">TX-01156</t>
  </si>
  <si>
    <t xml:space="preserve">TX-01157</t>
  </si>
  <si>
    <t xml:space="preserve">TX-01158</t>
  </si>
  <si>
    <t xml:space="preserve">TX-01159</t>
  </si>
  <si>
    <t xml:space="preserve">TX-01160</t>
  </si>
  <si>
    <t xml:space="preserve">TX-01161</t>
  </si>
  <si>
    <t xml:space="preserve">TX-01162</t>
  </si>
  <si>
    <t xml:space="preserve">TX-01163</t>
  </si>
  <si>
    <t xml:space="preserve">TX-01164</t>
  </si>
  <si>
    <t xml:space="preserve">TX-01165</t>
  </si>
  <si>
    <t xml:space="preserve">TX-01166</t>
  </si>
  <si>
    <t xml:space="preserve">TX-01167</t>
  </si>
  <si>
    <t xml:space="preserve">TX-01168</t>
  </si>
  <si>
    <t xml:space="preserve">TX-01169</t>
  </si>
  <si>
    <t xml:space="preserve">TX-01170</t>
  </si>
  <si>
    <t xml:space="preserve">TX-01171</t>
  </si>
  <si>
    <t xml:space="preserve">TX-01172</t>
  </si>
  <si>
    <t xml:space="preserve">TX-01173</t>
  </si>
  <si>
    <t xml:space="preserve">TX-01174</t>
  </si>
  <si>
    <t xml:space="preserve">TX-01175</t>
  </si>
  <si>
    <t xml:space="preserve">TX-01176</t>
  </si>
  <si>
    <t xml:space="preserve">TX-01177</t>
  </si>
  <si>
    <t xml:space="preserve">TX-01178</t>
  </si>
  <si>
    <t xml:space="preserve">TX-01179</t>
  </si>
  <si>
    <t xml:space="preserve">TX-01180</t>
  </si>
  <si>
    <t xml:space="preserve">TX-01181</t>
  </si>
  <si>
    <t xml:space="preserve">TX-01182</t>
  </si>
  <si>
    <t xml:space="preserve">TX-01183</t>
  </si>
  <si>
    <t xml:space="preserve">TX-01184</t>
  </si>
  <si>
    <t xml:space="preserve">TX-01185</t>
  </si>
  <si>
    <t xml:space="preserve">TX-01186</t>
  </si>
  <si>
    <t xml:space="preserve">TX-01187</t>
  </si>
  <si>
    <t xml:space="preserve">TX-01188</t>
  </si>
  <si>
    <t xml:space="preserve">TX-01189</t>
  </si>
  <si>
    <t xml:space="preserve">TX-01190</t>
  </si>
  <si>
    <t xml:space="preserve">TX-01191</t>
  </si>
  <si>
    <t xml:space="preserve">TX-01192</t>
  </si>
  <si>
    <t xml:space="preserve">TX-01193</t>
  </si>
  <si>
    <t xml:space="preserve">TX-01194</t>
  </si>
  <si>
    <t xml:space="preserve">TX-01195</t>
  </si>
  <si>
    <t xml:space="preserve">TX-01196</t>
  </si>
  <si>
    <t xml:space="preserve">TX-01197</t>
  </si>
  <si>
    <t xml:space="preserve">TX-01198</t>
  </si>
  <si>
    <t xml:space="preserve">TX-01199</t>
  </si>
  <si>
    <t xml:space="preserve">TX-01200</t>
  </si>
  <si>
    <t xml:space="preserve">DepartmentCode</t>
  </si>
  <si>
    <t xml:space="preserve">DepartmentName</t>
  </si>
  <si>
    <t xml:space="preserve">Operations</t>
  </si>
  <si>
    <t xml:space="preserve">Finance</t>
  </si>
  <si>
    <t xml:space="preserve">Quality</t>
  </si>
  <si>
    <t xml:space="preserve">Human Resources</t>
  </si>
  <si>
    <t xml:space="preserve">Technology</t>
  </si>
  <si>
    <t xml:space="preserve">SYNTHETIC TEST DATA</t>
  </si>
  <si>
    <t xml:space="preserve">Pivot table is added by the LibreOffice UNO spike when available.</t>
  </si>
  <si>
    <t xml:space="preserve">Filter</t>
  </si>
  <si>
    <t xml:space="preserve">Sum - Amount</t>
  </si>
  <si>
    <t xml:space="preserve">Total Result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</si>
</sst>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yyyy\-mm\-dd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Synthetic Institutional Metrics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Summary!$A$2:$A$6</c:f>
              <c:strCache>
                <c:ptCount val="5"/>
                <c:pt idx="0">
                  <c:v>Operations Total</c:v>
                </c:pt>
                <c:pt idx="1">
                  <c:v>Approved Average</c:v>
                </c:pt>
                <c:pt idx="2">
                  <c:v>Rejected Count</c:v>
                </c:pt>
                <c:pt idx="3">
                  <c:v>Maximum</c:v>
                </c:pt>
                <c:pt idx="4">
                  <c:v>Minimum</c:v>
                </c:pt>
              </c:strCache>
            </c:strRef>
          </c:cat>
          <c:val>
            <c:numRef>
              <c:f>Summary!$B$2:$B$6</c:f>
              <c:numCache>
                <c:formatCode>General</c:formatCode>
                <c:ptCount val="5"/>
                <c:pt idx="0">
                  <c:v>696140</c:v>
                </c:pt>
                <c:pt idx="1">
                  <c:v>2828.34669582119</c:v>
                </c:pt>
                <c:pt idx="2">
                  <c:v>171</c:v>
                </c:pt>
                <c:pt idx="3">
                  <c:v>5816.7</c:v>
                </c:pt>
                <c:pt idx="4">
                  <c:v>112.2</c:v>
                </c:pt>
              </c:numCache>
            </c:numRef>
          </c:val>
        </c:ser>
        <c:gapWidth val="150"/>
        <c:overlap val="0"/>
        <c:axId val="35228675"/>
        <c:axId val="17638000"/>
      </c:barChart>
      <c:catAx>
        <c:axId val="352286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Metric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638000"/>
        <c:crosses val="autoZero"/>
        <c:auto val="1"/>
        <c:lblAlgn val="ctr"/>
        <c:lblOffset val="100"/>
        <c:noMultiLvlLbl val="0"/>
      </c:catAx>
      <c:valAx>
        <c:axId val="176380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2286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10</xdr:col>
      <xdr:colOff>39240</xdr:colOff>
      <xdr:row>14</xdr:row>
      <xdr:rowOff>43200</xdr:rowOff>
    </xdr:to>
    <xdr:graphicFrame>
      <xdr:nvGraphicFramePr>
        <xdr:cNvPr id="0" name="Chart 1"/>
        <xdr:cNvGraphicFramePr/>
      </xdr:nvGraphicFramePr>
      <xdr:xfrm>
        <a:off x="1834560" y="1904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200" createdVersion="3">
  <cacheSource type="worksheet">
    <worksheetSource ref="A1:J1201" sheet="Transactions"/>
  </cacheSource>
  <cacheFields count="10">
    <cacheField name="ID" numFmtId="0">
      <sharedItems count="1200">
        <s v="TX-00001"/>
        <s v="TX-00002"/>
        <s v="TX-00003"/>
        <s v="TX-00004"/>
        <s v="TX-00005"/>
        <s v="TX-00006"/>
        <s v="TX-00007"/>
        <s v="TX-00008"/>
        <s v="TX-00009"/>
        <s v="TX-00010"/>
        <s v="TX-00011"/>
        <s v="TX-00012"/>
        <s v="TX-00013"/>
        <s v="TX-00014"/>
        <s v="TX-00015"/>
        <s v="TX-00016"/>
        <s v="TX-00017"/>
        <s v="TX-00018"/>
        <s v="TX-00019"/>
        <s v="TX-00020"/>
        <s v="TX-00021"/>
        <s v="TX-00022"/>
        <s v="TX-00023"/>
        <s v="TX-00024"/>
        <s v="TX-00025"/>
        <s v="TX-00026"/>
        <s v="TX-00027"/>
        <s v="TX-00028"/>
        <s v="TX-00029"/>
        <s v="TX-00030"/>
        <s v="TX-00031"/>
        <s v="TX-00032"/>
        <s v="TX-00033"/>
        <s v="TX-00034"/>
        <s v="TX-00035"/>
        <s v="TX-00036"/>
        <s v="TX-00037"/>
        <s v="TX-00038"/>
        <s v="TX-00039"/>
        <s v="TX-00040"/>
        <s v="TX-00041"/>
        <s v="TX-00042"/>
        <s v="TX-00043"/>
        <s v="TX-00044"/>
        <s v="TX-00045"/>
        <s v="TX-00046"/>
        <s v="TX-00047"/>
        <s v="TX-00048"/>
        <s v="TX-00049"/>
        <s v="TX-00050"/>
        <s v="TX-00051"/>
        <s v="TX-00052"/>
        <s v="TX-00053"/>
        <s v="TX-00054"/>
        <s v="TX-00055"/>
        <s v="TX-00056"/>
        <s v="TX-00057"/>
        <s v="TX-00058"/>
        <s v="TX-00059"/>
        <s v="TX-00060"/>
        <s v="TX-00061"/>
        <s v="TX-00062"/>
        <s v="TX-00063"/>
        <s v="TX-00064"/>
        <s v="TX-00065"/>
        <s v="TX-00066"/>
        <s v="TX-00067"/>
        <s v="TX-00068"/>
        <s v="TX-00069"/>
        <s v="TX-00070"/>
        <s v="TX-00071"/>
        <s v="TX-00072"/>
        <s v="TX-00073"/>
        <s v="TX-00074"/>
        <s v="TX-00075"/>
        <s v="TX-00076"/>
        <s v="TX-00077"/>
        <s v="TX-00078"/>
        <s v="TX-00079"/>
        <s v="TX-00080"/>
        <s v="TX-00081"/>
        <s v="TX-00082"/>
        <s v="TX-00083"/>
        <s v="TX-00084"/>
        <s v="TX-00085"/>
        <s v="TX-00086"/>
        <s v="TX-00087"/>
        <s v="TX-00088"/>
        <s v="TX-00089"/>
        <s v="TX-00090"/>
        <s v="TX-00091"/>
        <s v="TX-00092"/>
        <s v="TX-00093"/>
        <s v="TX-00094"/>
        <s v="TX-00095"/>
        <s v="TX-00096"/>
        <s v="TX-00097"/>
        <s v="TX-00098"/>
        <s v="TX-00099"/>
        <s v="TX-00100"/>
        <s v="TX-00101"/>
        <s v="TX-00102"/>
        <s v="TX-00103"/>
        <s v="TX-00104"/>
        <s v="TX-00105"/>
        <s v="TX-00106"/>
        <s v="TX-00107"/>
        <s v="TX-00108"/>
        <s v="TX-00109"/>
        <s v="TX-00110"/>
        <s v="TX-00111"/>
        <s v="TX-00112"/>
        <s v="TX-00113"/>
        <s v="TX-00114"/>
        <s v="TX-00115"/>
        <s v="TX-00116"/>
        <s v="TX-00117"/>
        <s v="TX-00118"/>
        <s v="TX-00119"/>
        <s v="TX-00120"/>
        <s v="TX-00121"/>
        <s v="TX-00122"/>
        <s v="TX-00123"/>
        <s v="TX-00124"/>
        <s v="TX-00125"/>
        <s v="TX-00126"/>
        <s v="TX-00127"/>
        <s v="TX-00128"/>
        <s v="TX-00129"/>
        <s v="TX-00130"/>
        <s v="TX-00131"/>
        <s v="TX-00132"/>
        <s v="TX-00133"/>
        <s v="TX-00134"/>
        <s v="TX-00135"/>
        <s v="TX-00136"/>
        <s v="TX-00137"/>
        <s v="TX-00138"/>
        <s v="TX-00139"/>
        <s v="TX-00140"/>
        <s v="TX-00141"/>
        <s v="TX-00142"/>
        <s v="TX-00143"/>
        <s v="TX-00144"/>
        <s v="TX-00145"/>
        <s v="TX-00146"/>
        <s v="TX-00147"/>
        <s v="TX-00148"/>
        <s v="TX-00149"/>
        <s v="TX-00150"/>
        <s v="TX-00151"/>
        <s v="TX-00152"/>
        <s v="TX-00153"/>
        <s v="TX-00154"/>
        <s v="TX-00155"/>
        <s v="TX-00156"/>
        <s v="TX-00157"/>
        <s v="TX-00158"/>
        <s v="TX-00159"/>
        <s v="TX-00160"/>
        <s v="TX-00161"/>
        <s v="TX-00162"/>
        <s v="TX-00163"/>
        <s v="TX-00164"/>
        <s v="TX-00165"/>
        <s v="TX-00166"/>
        <s v="TX-00167"/>
        <s v="TX-00168"/>
        <s v="TX-00169"/>
        <s v="TX-00170"/>
        <s v="TX-00171"/>
        <s v="TX-00172"/>
        <s v="TX-00173"/>
        <s v="TX-00174"/>
        <s v="TX-00175"/>
        <s v="TX-00176"/>
        <s v="TX-00177"/>
        <s v="TX-00178"/>
        <s v="TX-00179"/>
        <s v="TX-00180"/>
        <s v="TX-00181"/>
        <s v="TX-00182"/>
        <s v="TX-00183"/>
        <s v="TX-00184"/>
        <s v="TX-00185"/>
        <s v="TX-00186"/>
        <s v="TX-00187"/>
        <s v="TX-00188"/>
        <s v="TX-00189"/>
        <s v="TX-00190"/>
        <s v="TX-00191"/>
        <s v="TX-00192"/>
        <s v="TX-00193"/>
        <s v="TX-00194"/>
        <s v="TX-00195"/>
        <s v="TX-00196"/>
        <s v="TX-00197"/>
        <s v="TX-00198"/>
        <s v="TX-00199"/>
        <s v="TX-00200"/>
        <s v="TX-00201"/>
        <s v="TX-00202"/>
        <s v="TX-00203"/>
        <s v="TX-00204"/>
        <s v="TX-00205"/>
        <s v="TX-00206"/>
        <s v="TX-00207"/>
        <s v="TX-00208"/>
        <s v="TX-00209"/>
        <s v="TX-00210"/>
        <s v="TX-00211"/>
        <s v="TX-00212"/>
        <s v="TX-00213"/>
        <s v="TX-00214"/>
        <s v="TX-00215"/>
        <s v="TX-00216"/>
        <s v="TX-00217"/>
        <s v="TX-00218"/>
        <s v="TX-00219"/>
        <s v="TX-00220"/>
        <s v="TX-00221"/>
        <s v="TX-00222"/>
        <s v="TX-00223"/>
        <s v="TX-00224"/>
        <s v="TX-00225"/>
        <s v="TX-00226"/>
        <s v="TX-00227"/>
        <s v="TX-00228"/>
        <s v="TX-00229"/>
        <s v="TX-00230"/>
        <s v="TX-00231"/>
        <s v="TX-00232"/>
        <s v="TX-00233"/>
        <s v="TX-00234"/>
        <s v="TX-00235"/>
        <s v="TX-00236"/>
        <s v="TX-00237"/>
        <s v="TX-00238"/>
        <s v="TX-00239"/>
        <s v="TX-00240"/>
        <s v="TX-00241"/>
        <s v="TX-00242"/>
        <s v="TX-00243"/>
        <s v="TX-00244"/>
        <s v="TX-00245"/>
        <s v="TX-00246"/>
        <s v="TX-00247"/>
        <s v="TX-00248"/>
        <s v="TX-00249"/>
        <s v="TX-00250"/>
        <s v="TX-00251"/>
        <s v="TX-00252"/>
        <s v="TX-00253"/>
        <s v="TX-00254"/>
        <s v="TX-00255"/>
        <s v="TX-00256"/>
        <s v="TX-00257"/>
        <s v="TX-00258"/>
        <s v="TX-00259"/>
        <s v="TX-00260"/>
        <s v="TX-00261"/>
        <s v="TX-00262"/>
        <s v="TX-00263"/>
        <s v="TX-00264"/>
        <s v="TX-00265"/>
        <s v="TX-00266"/>
        <s v="TX-00267"/>
        <s v="TX-00268"/>
        <s v="TX-00269"/>
        <s v="TX-00270"/>
        <s v="TX-00271"/>
        <s v="TX-00272"/>
        <s v="TX-00273"/>
        <s v="TX-00274"/>
        <s v="TX-00275"/>
        <s v="TX-00276"/>
        <s v="TX-00277"/>
        <s v="TX-00278"/>
        <s v="TX-00279"/>
        <s v="TX-00280"/>
        <s v="TX-00281"/>
        <s v="TX-00282"/>
        <s v="TX-00283"/>
        <s v="TX-00284"/>
        <s v="TX-00285"/>
        <s v="TX-00286"/>
        <s v="TX-00287"/>
        <s v="TX-00288"/>
        <s v="TX-00289"/>
        <s v="TX-00290"/>
        <s v="TX-00291"/>
        <s v="TX-00292"/>
        <s v="TX-00293"/>
        <s v="TX-00294"/>
        <s v="TX-00295"/>
        <s v="TX-00296"/>
        <s v="TX-00297"/>
        <s v="TX-00298"/>
        <s v="TX-00299"/>
        <s v="TX-00300"/>
        <s v="TX-00301"/>
        <s v="TX-00302"/>
        <s v="TX-00303"/>
        <s v="TX-00304"/>
        <s v="TX-00305"/>
        <s v="TX-00306"/>
        <s v="TX-00307"/>
        <s v="TX-00308"/>
        <s v="TX-00309"/>
        <s v="TX-00310"/>
        <s v="TX-00311"/>
        <s v="TX-00312"/>
        <s v="TX-00313"/>
        <s v="TX-00314"/>
        <s v="TX-00315"/>
        <s v="TX-00316"/>
        <s v="TX-00317"/>
        <s v="TX-00318"/>
        <s v="TX-00319"/>
        <s v="TX-00320"/>
        <s v="TX-00321"/>
        <s v="TX-00322"/>
        <s v="TX-00323"/>
        <s v="TX-00324"/>
        <s v="TX-00325"/>
        <s v="TX-00326"/>
        <s v="TX-00327"/>
        <s v="TX-00328"/>
        <s v="TX-00329"/>
        <s v="TX-00330"/>
        <s v="TX-00331"/>
        <s v="TX-00332"/>
        <s v="TX-00333"/>
        <s v="TX-00334"/>
        <s v="TX-00335"/>
        <s v="TX-00336"/>
        <s v="TX-00337"/>
        <s v="TX-00338"/>
        <s v="TX-00339"/>
        <s v="TX-00340"/>
        <s v="TX-00341"/>
        <s v="TX-00342"/>
        <s v="TX-00343"/>
        <s v="TX-00344"/>
        <s v="TX-00345"/>
        <s v="TX-00346"/>
        <s v="TX-00347"/>
        <s v="TX-00348"/>
        <s v="TX-00349"/>
        <s v="TX-00350"/>
        <s v="TX-00351"/>
        <s v="TX-00352"/>
        <s v="TX-00353"/>
        <s v="TX-00354"/>
        <s v="TX-00355"/>
        <s v="TX-00356"/>
        <s v="TX-00357"/>
        <s v="TX-00358"/>
        <s v="TX-00359"/>
        <s v="TX-00360"/>
        <s v="TX-00361"/>
        <s v="TX-00362"/>
        <s v="TX-00363"/>
        <s v="TX-00364"/>
        <s v="TX-00365"/>
        <s v="TX-00366"/>
        <s v="TX-00367"/>
        <s v="TX-00368"/>
        <s v="TX-00369"/>
        <s v="TX-00370"/>
        <s v="TX-00371"/>
        <s v="TX-00372"/>
        <s v="TX-00373"/>
        <s v="TX-00374"/>
        <s v="TX-00375"/>
        <s v="TX-00376"/>
        <s v="TX-00377"/>
        <s v="TX-00378"/>
        <s v="TX-00379"/>
        <s v="TX-00380"/>
        <s v="TX-00381"/>
        <s v="TX-00382"/>
        <s v="TX-00383"/>
        <s v="TX-00384"/>
        <s v="TX-00385"/>
        <s v="TX-00386"/>
        <s v="TX-00387"/>
        <s v="TX-00388"/>
        <s v="TX-00389"/>
        <s v="TX-00390"/>
        <s v="TX-00391"/>
        <s v="TX-00392"/>
        <s v="TX-00393"/>
        <s v="TX-00394"/>
        <s v="TX-00395"/>
        <s v="TX-00396"/>
        <s v="TX-00397"/>
        <s v="TX-00398"/>
        <s v="TX-00399"/>
        <s v="TX-00400"/>
        <s v="TX-00401"/>
        <s v="TX-00402"/>
        <s v="TX-00403"/>
        <s v="TX-00404"/>
        <s v="TX-00405"/>
        <s v="TX-00406"/>
        <s v="TX-00407"/>
        <s v="TX-00408"/>
        <s v="TX-00409"/>
        <s v="TX-00410"/>
        <s v="TX-00411"/>
        <s v="TX-00412"/>
        <s v="TX-00413"/>
        <s v="TX-00414"/>
        <s v="TX-00415"/>
        <s v="TX-00416"/>
        <s v="TX-00417"/>
        <s v="TX-00418"/>
        <s v="TX-00419"/>
        <s v="TX-00420"/>
        <s v="TX-00421"/>
        <s v="TX-00422"/>
        <s v="TX-00423"/>
        <s v="TX-00424"/>
        <s v="TX-00425"/>
        <s v="TX-00426"/>
        <s v="TX-00427"/>
        <s v="TX-00428"/>
        <s v="TX-00429"/>
        <s v="TX-00430"/>
        <s v="TX-00431"/>
        <s v="TX-00432"/>
        <s v="TX-00433"/>
        <s v="TX-00434"/>
        <s v="TX-00435"/>
        <s v="TX-00436"/>
        <s v="TX-00437"/>
        <s v="TX-00438"/>
        <s v="TX-00439"/>
        <s v="TX-00440"/>
        <s v="TX-00441"/>
        <s v="TX-00442"/>
        <s v="TX-00443"/>
        <s v="TX-00444"/>
        <s v="TX-00445"/>
        <s v="TX-00446"/>
        <s v="TX-00447"/>
        <s v="TX-00448"/>
        <s v="TX-00449"/>
        <s v="TX-00450"/>
        <s v="TX-00451"/>
        <s v="TX-00452"/>
        <s v="TX-00453"/>
        <s v="TX-00454"/>
        <s v="TX-00455"/>
        <s v="TX-00456"/>
        <s v="TX-00457"/>
        <s v="TX-00458"/>
        <s v="TX-00459"/>
        <s v="TX-00460"/>
        <s v="TX-00461"/>
        <s v="TX-00462"/>
        <s v="TX-00463"/>
        <s v="TX-00464"/>
        <s v="TX-00465"/>
        <s v="TX-00466"/>
        <s v="TX-00467"/>
        <s v="TX-00468"/>
        <s v="TX-00469"/>
        <s v="TX-00470"/>
        <s v="TX-00471"/>
        <s v="TX-00472"/>
        <s v="TX-00473"/>
        <s v="TX-00474"/>
        <s v="TX-00475"/>
        <s v="TX-00476"/>
        <s v="TX-00477"/>
        <s v="TX-00478"/>
        <s v="TX-00479"/>
        <s v="TX-00480"/>
        <s v="TX-00481"/>
        <s v="TX-00482"/>
        <s v="TX-00483"/>
        <s v="TX-00484"/>
        <s v="TX-00485"/>
        <s v="TX-00486"/>
        <s v="TX-00487"/>
        <s v="TX-00488"/>
        <s v="TX-00489"/>
        <s v="TX-00490"/>
        <s v="TX-00491"/>
        <s v="TX-00492"/>
        <s v="TX-00493"/>
        <s v="TX-00494"/>
        <s v="TX-00495"/>
        <s v="TX-00496"/>
        <s v="TX-00497"/>
        <s v="TX-00498"/>
        <s v="TX-00499"/>
        <s v="TX-00500"/>
        <s v="TX-00501"/>
        <s v="TX-00502"/>
        <s v="TX-00503"/>
        <s v="TX-00504"/>
        <s v="TX-00505"/>
        <s v="TX-00506"/>
        <s v="TX-00507"/>
        <s v="TX-00508"/>
        <s v="TX-00509"/>
        <s v="TX-00510"/>
        <s v="TX-00511"/>
        <s v="TX-00512"/>
        <s v="TX-00513"/>
        <s v="TX-00514"/>
        <s v="TX-00515"/>
        <s v="TX-00516"/>
        <s v="TX-00517"/>
        <s v="TX-00518"/>
        <s v="TX-00519"/>
        <s v="TX-00520"/>
        <s v="TX-00521"/>
        <s v="TX-00522"/>
        <s v="TX-00523"/>
        <s v="TX-00524"/>
        <s v="TX-00525"/>
        <s v="TX-00526"/>
        <s v="TX-00527"/>
        <s v="TX-00528"/>
        <s v="TX-00529"/>
        <s v="TX-00530"/>
        <s v="TX-00531"/>
        <s v="TX-00532"/>
        <s v="TX-00533"/>
        <s v="TX-00534"/>
        <s v="TX-00535"/>
        <s v="TX-00536"/>
        <s v="TX-00537"/>
        <s v="TX-00538"/>
        <s v="TX-00539"/>
        <s v="TX-00540"/>
        <s v="TX-00541"/>
        <s v="TX-00542"/>
        <s v="TX-00543"/>
        <s v="TX-00544"/>
        <s v="TX-00545"/>
        <s v="TX-00546"/>
        <s v="TX-00547"/>
        <s v="TX-00548"/>
        <s v="TX-00549"/>
        <s v="TX-00550"/>
        <s v="TX-00551"/>
        <s v="TX-00552"/>
        <s v="TX-00553"/>
        <s v="TX-00554"/>
        <s v="TX-00555"/>
        <s v="TX-00556"/>
        <s v="TX-00557"/>
        <s v="TX-00558"/>
        <s v="TX-00559"/>
        <s v="TX-00560"/>
        <s v="TX-00561"/>
        <s v="TX-00562"/>
        <s v="TX-00563"/>
        <s v="TX-00564"/>
        <s v="TX-00565"/>
        <s v="TX-00566"/>
        <s v="TX-00567"/>
        <s v="TX-00568"/>
        <s v="TX-00569"/>
        <s v="TX-00570"/>
        <s v="TX-00571"/>
        <s v="TX-00572"/>
        <s v="TX-00573"/>
        <s v="TX-00574"/>
        <s v="TX-00575"/>
        <s v="TX-00576"/>
        <s v="TX-00577"/>
        <s v="TX-00578"/>
        <s v="TX-00579"/>
        <s v="TX-00580"/>
        <s v="TX-00581"/>
        <s v="TX-00582"/>
        <s v="TX-00583"/>
        <s v="TX-00584"/>
        <s v="TX-00585"/>
        <s v="TX-00586"/>
        <s v="TX-00587"/>
        <s v="TX-00588"/>
        <s v="TX-00589"/>
        <s v="TX-00590"/>
        <s v="TX-00591"/>
        <s v="TX-00592"/>
        <s v="TX-00593"/>
        <s v="TX-00594"/>
        <s v="TX-00595"/>
        <s v="TX-00596"/>
        <s v="TX-00597"/>
        <s v="TX-00598"/>
        <s v="TX-00599"/>
        <s v="TX-00600"/>
        <s v="TX-00601"/>
        <s v="TX-00602"/>
        <s v="TX-00603"/>
        <s v="TX-00604"/>
        <s v="TX-00605"/>
        <s v="TX-00606"/>
        <s v="TX-00607"/>
        <s v="TX-00608"/>
        <s v="TX-00609"/>
        <s v="TX-00610"/>
        <s v="TX-00611"/>
        <s v="TX-00612"/>
        <s v="TX-00613"/>
        <s v="TX-00614"/>
        <s v="TX-00615"/>
        <s v="TX-00616"/>
        <s v="TX-00617"/>
        <s v="TX-00618"/>
        <s v="TX-00619"/>
        <s v="TX-00620"/>
        <s v="TX-00621"/>
        <s v="TX-00622"/>
        <s v="TX-00623"/>
        <s v="TX-00624"/>
        <s v="TX-00625"/>
        <s v="TX-00626"/>
        <s v="TX-00627"/>
        <s v="TX-00628"/>
        <s v="TX-00629"/>
        <s v="TX-00630"/>
        <s v="TX-00631"/>
        <s v="TX-00632"/>
        <s v="TX-00633"/>
        <s v="TX-00634"/>
        <s v="TX-00635"/>
        <s v="TX-00636"/>
        <s v="TX-00637"/>
        <s v="TX-00638"/>
        <s v="TX-00639"/>
        <s v="TX-00640"/>
        <s v="TX-00641"/>
        <s v="TX-00642"/>
        <s v="TX-00643"/>
        <s v="TX-00644"/>
        <s v="TX-00645"/>
        <s v="TX-00646"/>
        <s v="TX-00647"/>
        <s v="TX-00648"/>
        <s v="TX-00649"/>
        <s v="TX-00650"/>
        <s v="TX-00651"/>
        <s v="TX-00652"/>
        <s v="TX-00653"/>
        <s v="TX-00654"/>
        <s v="TX-00655"/>
        <s v="TX-00656"/>
        <s v="TX-00657"/>
        <s v="TX-00658"/>
        <s v="TX-00659"/>
        <s v="TX-00660"/>
        <s v="TX-00661"/>
        <s v="TX-00662"/>
        <s v="TX-00663"/>
        <s v="TX-00664"/>
        <s v="TX-00665"/>
        <s v="TX-00666"/>
        <s v="TX-00667"/>
        <s v="TX-00668"/>
        <s v="TX-00669"/>
        <s v="TX-00670"/>
        <s v="TX-00671"/>
        <s v="TX-00672"/>
        <s v="TX-00673"/>
        <s v="TX-00674"/>
        <s v="TX-00675"/>
        <s v="TX-00676"/>
        <s v="TX-00677"/>
        <s v="TX-00678"/>
        <s v="TX-00679"/>
        <s v="TX-00680"/>
        <s v="TX-00681"/>
        <s v="TX-00682"/>
        <s v="TX-00683"/>
        <s v="TX-00684"/>
        <s v="TX-00685"/>
        <s v="TX-00686"/>
        <s v="TX-00687"/>
        <s v="TX-00688"/>
        <s v="TX-00689"/>
        <s v="TX-00690"/>
        <s v="TX-00691"/>
        <s v="TX-00692"/>
        <s v="TX-00693"/>
        <s v="TX-00694"/>
        <s v="TX-00695"/>
        <s v="TX-00696"/>
        <s v="TX-00697"/>
        <s v="TX-00698"/>
        <s v="TX-00699"/>
        <s v="TX-00700"/>
        <s v="TX-00701"/>
        <s v="TX-00702"/>
        <s v="TX-00703"/>
        <s v="TX-00704"/>
        <s v="TX-00705"/>
        <s v="TX-00706"/>
        <s v="TX-00707"/>
        <s v="TX-00708"/>
        <s v="TX-00709"/>
        <s v="TX-00710"/>
        <s v="TX-00711"/>
        <s v="TX-00712"/>
        <s v="TX-00713"/>
        <s v="TX-00714"/>
        <s v="TX-00715"/>
        <s v="TX-00716"/>
        <s v="TX-00717"/>
        <s v="TX-00718"/>
        <s v="TX-00719"/>
        <s v="TX-00720"/>
        <s v="TX-00721"/>
        <s v="TX-00722"/>
        <s v="TX-00723"/>
        <s v="TX-00724"/>
        <s v="TX-00725"/>
        <s v="TX-00726"/>
        <s v="TX-00727"/>
        <s v="TX-00728"/>
        <s v="TX-00729"/>
        <s v="TX-00730"/>
        <s v="TX-00731"/>
        <s v="TX-00732"/>
        <s v="TX-00733"/>
        <s v="TX-00734"/>
        <s v="TX-00735"/>
        <s v="TX-00736"/>
        <s v="TX-00737"/>
        <s v="TX-00738"/>
        <s v="TX-00739"/>
        <s v="TX-00740"/>
        <s v="TX-00741"/>
        <s v="TX-00742"/>
        <s v="TX-00743"/>
        <s v="TX-00744"/>
        <s v="TX-00745"/>
        <s v="TX-00746"/>
        <s v="TX-00747"/>
        <s v="TX-00748"/>
        <s v="TX-00749"/>
        <s v="TX-00750"/>
        <s v="TX-00751"/>
        <s v="TX-00752"/>
        <s v="TX-00753"/>
        <s v="TX-00754"/>
        <s v="TX-00755"/>
        <s v="TX-00756"/>
        <s v="TX-00757"/>
        <s v="TX-00758"/>
        <s v="TX-00759"/>
        <s v="TX-00760"/>
        <s v="TX-00761"/>
        <s v="TX-00762"/>
        <s v="TX-00763"/>
        <s v="TX-00764"/>
        <s v="TX-00765"/>
        <s v="TX-00766"/>
        <s v="TX-00767"/>
        <s v="TX-00768"/>
        <s v="TX-00769"/>
        <s v="TX-00770"/>
        <s v="TX-00771"/>
        <s v="TX-00772"/>
        <s v="TX-00773"/>
        <s v="TX-00774"/>
        <s v="TX-00775"/>
        <s v="TX-00776"/>
        <s v="TX-00777"/>
        <s v="TX-00778"/>
        <s v="TX-00779"/>
        <s v="TX-00780"/>
        <s v="TX-00781"/>
        <s v="TX-00782"/>
        <s v="TX-00783"/>
        <s v="TX-00784"/>
        <s v="TX-00785"/>
        <s v="TX-00786"/>
        <s v="TX-00787"/>
        <s v="TX-00788"/>
        <s v="TX-00789"/>
        <s v="TX-00790"/>
        <s v="TX-00791"/>
        <s v="TX-00792"/>
        <s v="TX-00793"/>
        <s v="TX-00794"/>
        <s v="TX-00795"/>
        <s v="TX-00796"/>
        <s v="TX-00797"/>
        <s v="TX-00798"/>
        <s v="TX-00799"/>
        <s v="TX-00800"/>
        <s v="TX-00801"/>
        <s v="TX-00802"/>
        <s v="TX-00803"/>
        <s v="TX-00804"/>
        <s v="TX-00805"/>
        <s v="TX-00806"/>
        <s v="TX-00807"/>
        <s v="TX-00808"/>
        <s v="TX-00809"/>
        <s v="TX-00810"/>
        <s v="TX-00811"/>
        <s v="TX-00812"/>
        <s v="TX-00813"/>
        <s v="TX-00814"/>
        <s v="TX-00815"/>
        <s v="TX-00816"/>
        <s v="TX-00817"/>
        <s v="TX-00818"/>
        <s v="TX-00819"/>
        <s v="TX-00820"/>
        <s v="TX-00821"/>
        <s v="TX-00822"/>
        <s v="TX-00823"/>
        <s v="TX-00824"/>
        <s v="TX-00825"/>
        <s v="TX-00826"/>
        <s v="TX-00827"/>
        <s v="TX-00828"/>
        <s v="TX-00829"/>
        <s v="TX-00830"/>
        <s v="TX-00831"/>
        <s v="TX-00832"/>
        <s v="TX-00833"/>
        <s v="TX-00834"/>
        <s v="TX-00835"/>
        <s v="TX-00836"/>
        <s v="TX-00837"/>
        <s v="TX-00838"/>
        <s v="TX-00839"/>
        <s v="TX-00840"/>
        <s v="TX-00841"/>
        <s v="TX-00842"/>
        <s v="TX-00843"/>
        <s v="TX-00844"/>
        <s v="TX-00845"/>
        <s v="TX-00846"/>
        <s v="TX-00847"/>
        <s v="TX-00848"/>
        <s v="TX-00849"/>
        <s v="TX-00850"/>
        <s v="TX-00851"/>
        <s v="TX-00852"/>
        <s v="TX-00853"/>
        <s v="TX-00854"/>
        <s v="TX-00855"/>
        <s v="TX-00856"/>
        <s v="TX-00857"/>
        <s v="TX-00858"/>
        <s v="TX-00859"/>
        <s v="TX-00860"/>
        <s v="TX-00861"/>
        <s v="TX-00862"/>
        <s v="TX-00863"/>
        <s v="TX-00864"/>
        <s v="TX-00865"/>
        <s v="TX-00866"/>
        <s v="TX-00867"/>
        <s v="TX-00868"/>
        <s v="TX-00869"/>
        <s v="TX-00870"/>
        <s v="TX-00871"/>
        <s v="TX-00872"/>
        <s v="TX-00873"/>
        <s v="TX-00874"/>
        <s v="TX-00875"/>
        <s v="TX-00876"/>
        <s v="TX-00877"/>
        <s v="TX-00878"/>
        <s v="TX-00879"/>
        <s v="TX-00880"/>
        <s v="TX-00881"/>
        <s v="TX-00882"/>
        <s v="TX-00883"/>
        <s v="TX-00884"/>
        <s v="TX-00885"/>
        <s v="TX-00886"/>
        <s v="TX-00887"/>
        <s v="TX-00888"/>
        <s v="TX-00889"/>
        <s v="TX-00890"/>
        <s v="TX-00891"/>
        <s v="TX-00892"/>
        <s v="TX-00893"/>
        <s v="TX-00894"/>
        <s v="TX-00895"/>
        <s v="TX-00896"/>
        <s v="TX-00897"/>
        <s v="TX-00898"/>
        <s v="TX-00899"/>
        <s v="TX-00900"/>
        <s v="TX-00901"/>
        <s v="TX-00902"/>
        <s v="TX-00903"/>
        <s v="TX-00904"/>
        <s v="TX-00905"/>
        <s v="TX-00906"/>
        <s v="TX-00907"/>
        <s v="TX-00908"/>
        <s v="TX-00909"/>
        <s v="TX-00910"/>
        <s v="TX-00911"/>
        <s v="TX-00912"/>
        <s v="TX-00913"/>
        <s v="TX-00914"/>
        <s v="TX-00915"/>
        <s v="TX-00916"/>
        <s v="TX-00917"/>
        <s v="TX-00918"/>
        <s v="TX-00919"/>
        <s v="TX-00920"/>
        <s v="TX-00921"/>
        <s v="TX-00922"/>
        <s v="TX-00923"/>
        <s v="TX-00924"/>
        <s v="TX-00925"/>
        <s v="TX-00926"/>
        <s v="TX-00927"/>
        <s v="TX-00928"/>
        <s v="TX-00929"/>
        <s v="TX-00930"/>
        <s v="TX-00931"/>
        <s v="TX-00932"/>
        <s v="TX-00933"/>
        <s v="TX-00934"/>
        <s v="TX-00935"/>
        <s v="TX-00936"/>
        <s v="TX-00937"/>
        <s v="TX-00938"/>
        <s v="TX-00939"/>
        <s v="TX-00940"/>
        <s v="TX-00941"/>
        <s v="TX-00942"/>
        <s v="TX-00943"/>
        <s v="TX-00944"/>
        <s v="TX-00945"/>
        <s v="TX-00946"/>
        <s v="TX-00947"/>
        <s v="TX-00948"/>
        <s v="TX-00949"/>
        <s v="TX-00950"/>
        <s v="TX-00951"/>
        <s v="TX-00952"/>
        <s v="TX-00953"/>
        <s v="TX-00954"/>
        <s v="TX-00955"/>
        <s v="TX-00956"/>
        <s v="TX-00957"/>
        <s v="TX-00958"/>
        <s v="TX-00959"/>
        <s v="TX-00960"/>
        <s v="TX-00961"/>
        <s v="TX-00962"/>
        <s v="TX-00963"/>
        <s v="TX-00964"/>
        <s v="TX-00965"/>
        <s v="TX-00966"/>
        <s v="TX-00967"/>
        <s v="TX-00968"/>
        <s v="TX-00969"/>
        <s v="TX-00970"/>
        <s v="TX-00971"/>
        <s v="TX-00972"/>
        <s v="TX-00973"/>
        <s v="TX-00974"/>
        <s v="TX-00975"/>
        <s v="TX-00976"/>
        <s v="TX-00977"/>
        <s v="TX-00978"/>
        <s v="TX-00979"/>
        <s v="TX-00980"/>
        <s v="TX-00981"/>
        <s v="TX-00982"/>
        <s v="TX-00983"/>
        <s v="TX-00984"/>
        <s v="TX-00985"/>
        <s v="TX-00986"/>
        <s v="TX-00987"/>
        <s v="TX-00988"/>
        <s v="TX-00989"/>
        <s v="TX-00990"/>
        <s v="TX-00991"/>
        <s v="TX-00992"/>
        <s v="TX-00993"/>
        <s v="TX-00994"/>
        <s v="TX-00995"/>
        <s v="TX-00996"/>
        <s v="TX-00997"/>
        <s v="TX-00998"/>
        <s v="TX-00999"/>
        <s v="TX-01000"/>
        <s v="TX-01001"/>
        <s v="TX-01002"/>
        <s v="TX-01003"/>
        <s v="TX-01004"/>
        <s v="TX-01005"/>
        <s v="TX-01006"/>
        <s v="TX-01007"/>
        <s v="TX-01008"/>
        <s v="TX-01009"/>
        <s v="TX-01010"/>
        <s v="TX-01011"/>
        <s v="TX-01012"/>
        <s v="TX-01013"/>
        <s v="TX-01014"/>
        <s v="TX-01015"/>
        <s v="TX-01016"/>
        <s v="TX-01017"/>
        <s v="TX-01018"/>
        <s v="TX-01019"/>
        <s v="TX-01020"/>
        <s v="TX-01021"/>
        <s v="TX-01022"/>
        <s v="TX-01023"/>
        <s v="TX-01024"/>
        <s v="TX-01025"/>
        <s v="TX-01026"/>
        <s v="TX-01027"/>
        <s v="TX-01028"/>
        <s v="TX-01029"/>
        <s v="TX-01030"/>
        <s v="TX-01031"/>
        <s v="TX-01032"/>
        <s v="TX-01033"/>
        <s v="TX-01034"/>
        <s v="TX-01035"/>
        <s v="TX-01036"/>
        <s v="TX-01037"/>
        <s v="TX-01038"/>
        <s v="TX-01039"/>
        <s v="TX-01040"/>
        <s v="TX-01041"/>
        <s v="TX-01042"/>
        <s v="TX-01043"/>
        <s v="TX-01044"/>
        <s v="TX-01045"/>
        <s v="TX-01046"/>
        <s v="TX-01047"/>
        <s v="TX-01048"/>
        <s v="TX-01049"/>
        <s v="TX-01050"/>
        <s v="TX-01051"/>
        <s v="TX-01052"/>
        <s v="TX-01053"/>
        <s v="TX-01054"/>
        <s v="TX-01055"/>
        <s v="TX-01056"/>
        <s v="TX-01057"/>
        <s v="TX-01058"/>
        <s v="TX-01059"/>
        <s v="TX-01060"/>
        <s v="TX-01061"/>
        <s v="TX-01062"/>
        <s v="TX-01063"/>
        <s v="TX-01064"/>
        <s v="TX-01065"/>
        <s v="TX-01066"/>
        <s v="TX-01067"/>
        <s v="TX-01068"/>
        <s v="TX-01069"/>
        <s v="TX-01070"/>
        <s v="TX-01071"/>
        <s v="TX-01072"/>
        <s v="TX-01073"/>
        <s v="TX-01074"/>
        <s v="TX-01075"/>
        <s v="TX-01076"/>
        <s v="TX-01077"/>
        <s v="TX-01078"/>
        <s v="TX-01079"/>
        <s v="TX-01080"/>
        <s v="TX-01081"/>
        <s v="TX-01082"/>
        <s v="TX-01083"/>
        <s v="TX-01084"/>
        <s v="TX-01085"/>
        <s v="TX-01086"/>
        <s v="TX-01087"/>
        <s v="TX-01088"/>
        <s v="TX-01089"/>
        <s v="TX-01090"/>
        <s v="TX-01091"/>
        <s v="TX-01092"/>
        <s v="TX-01093"/>
        <s v="TX-01094"/>
        <s v="TX-01095"/>
        <s v="TX-01096"/>
        <s v="TX-01097"/>
        <s v="TX-01098"/>
        <s v="TX-01099"/>
        <s v="TX-01100"/>
        <s v="TX-01101"/>
        <s v="TX-01102"/>
        <s v="TX-01103"/>
        <s v="TX-01104"/>
        <s v="TX-01105"/>
        <s v="TX-01106"/>
        <s v="TX-01107"/>
        <s v="TX-01108"/>
        <s v="TX-01109"/>
        <s v="TX-01110"/>
        <s v="TX-01111"/>
        <s v="TX-01112"/>
        <s v="TX-01113"/>
        <s v="TX-01114"/>
        <s v="TX-01115"/>
        <s v="TX-01116"/>
        <s v="TX-01117"/>
        <s v="TX-01118"/>
        <s v="TX-01119"/>
        <s v="TX-01120"/>
        <s v="TX-01121"/>
        <s v="TX-01122"/>
        <s v="TX-01123"/>
        <s v="TX-01124"/>
        <s v="TX-01125"/>
        <s v="TX-01126"/>
        <s v="TX-01127"/>
        <s v="TX-01128"/>
        <s v="TX-01129"/>
        <s v="TX-01130"/>
        <s v="TX-01131"/>
        <s v="TX-01132"/>
        <s v="TX-01133"/>
        <s v="TX-01134"/>
        <s v="TX-01135"/>
        <s v="TX-01136"/>
        <s v="TX-01137"/>
        <s v="TX-01138"/>
        <s v="TX-01139"/>
        <s v="TX-01140"/>
        <s v="TX-01141"/>
        <s v="TX-01142"/>
        <s v="TX-01143"/>
        <s v="TX-01144"/>
        <s v="TX-01145"/>
        <s v="TX-01146"/>
        <s v="TX-01147"/>
        <s v="TX-01148"/>
        <s v="TX-01149"/>
        <s v="TX-01150"/>
        <s v="TX-01151"/>
        <s v="TX-01152"/>
        <s v="TX-01153"/>
        <s v="TX-01154"/>
        <s v="TX-01155"/>
        <s v="TX-01156"/>
        <s v="TX-01157"/>
        <s v="TX-01158"/>
        <s v="TX-01159"/>
        <s v="TX-01160"/>
        <s v="TX-01161"/>
        <s v="TX-01162"/>
        <s v="TX-01163"/>
        <s v="TX-01164"/>
        <s v="TX-01165"/>
        <s v="TX-01166"/>
        <s v="TX-01167"/>
        <s v="TX-01168"/>
        <s v="TX-01169"/>
        <s v="TX-01170"/>
        <s v="TX-01171"/>
        <s v="TX-01172"/>
        <s v="TX-01173"/>
        <s v="TX-01174"/>
        <s v="TX-01175"/>
        <s v="TX-01176"/>
        <s v="TX-01177"/>
        <s v="TX-01178"/>
        <s v="TX-01179"/>
        <s v="TX-01180"/>
        <s v="TX-01181"/>
        <s v="TX-01182"/>
        <s v="TX-01183"/>
        <s v="TX-01184"/>
        <s v="TX-01185"/>
        <s v="TX-01186"/>
        <s v="TX-01187"/>
        <s v="TX-01188"/>
        <s v="TX-01189"/>
        <s v="TX-01190"/>
        <s v="TX-01191"/>
        <s v="TX-01192"/>
        <s v="TX-01193"/>
        <s v="TX-01194"/>
        <s v="TX-01195"/>
        <s v="TX-01196"/>
        <s v="TX-01197"/>
        <s v="TX-01198"/>
        <s v="TX-01199"/>
        <s v="TX-01200"/>
      </sharedItems>
    </cacheField>
    <cacheField name="Date" numFmtId="0">
      <sharedItems containsSemiMixedTypes="0" containsNonDate="0" containsDate="1" containsString="0" minDate="2025-01-01T00:00:00" maxDate="2025-12-31T00:00:00" count="36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Department" numFmtId="0">
      <sharedItems count="5">
        <s v="FIN"/>
        <s v="HR"/>
        <s v="IT"/>
        <s v="OPS"/>
        <s v="QLT"/>
      </sharedItems>
    </cacheField>
    <cacheField name="Category" numFmtId="0">
      <sharedItems count="3">
        <s v="Capital"/>
        <s v="Services"/>
        <s v="Supplies"/>
      </sharedItems>
    </cacheField>
    <cacheField name="Amount" numFmtId="0">
      <sharedItems containsSemiMixedTypes="0" containsString="0" containsNumber="1" containsInteger="1" minValue="102" maxValue="5097" count="1200">
        <n v="102"/>
        <n v="107"/>
        <n v="112"/>
        <n v="117"/>
        <n v="122"/>
        <n v="127"/>
        <n v="132"/>
        <n v="134"/>
        <n v="137"/>
        <n v="139"/>
        <n v="144"/>
        <n v="149"/>
        <n v="154"/>
        <n v="159"/>
        <n v="164"/>
        <n v="169"/>
        <n v="171"/>
        <n v="174"/>
        <n v="176"/>
        <n v="181"/>
        <n v="186"/>
        <n v="191"/>
        <n v="196"/>
        <n v="201"/>
        <n v="206"/>
        <n v="208"/>
        <n v="211"/>
        <n v="213"/>
        <n v="218"/>
        <n v="223"/>
        <n v="228"/>
        <n v="233"/>
        <n v="238"/>
        <n v="243"/>
        <n v="245"/>
        <n v="248"/>
        <n v="250"/>
        <n v="255"/>
        <n v="260"/>
        <n v="265"/>
        <n v="270"/>
        <n v="275"/>
        <n v="280"/>
        <n v="282"/>
        <n v="285"/>
        <n v="287"/>
        <n v="292"/>
        <n v="297"/>
        <n v="302"/>
        <n v="307"/>
        <n v="312"/>
        <n v="317"/>
        <n v="319"/>
        <n v="322"/>
        <n v="324"/>
        <n v="329"/>
        <n v="334"/>
        <n v="339"/>
        <n v="344"/>
        <n v="349"/>
        <n v="354"/>
        <n v="356"/>
        <n v="359"/>
        <n v="361"/>
        <n v="366"/>
        <n v="371"/>
        <n v="376"/>
        <n v="381"/>
        <n v="386"/>
        <n v="391"/>
        <n v="393"/>
        <n v="396"/>
        <n v="398"/>
        <n v="403"/>
        <n v="408"/>
        <n v="413"/>
        <n v="418"/>
        <n v="423"/>
        <n v="428"/>
        <n v="430"/>
        <n v="433"/>
        <n v="435"/>
        <n v="440"/>
        <n v="445"/>
        <n v="450"/>
        <n v="455"/>
        <n v="460"/>
        <n v="465"/>
        <n v="467"/>
        <n v="470"/>
        <n v="472"/>
        <n v="477"/>
        <n v="482"/>
        <n v="487"/>
        <n v="492"/>
        <n v="497"/>
        <n v="502"/>
        <n v="504"/>
        <n v="507"/>
        <n v="509"/>
        <n v="514"/>
        <n v="519"/>
        <n v="524"/>
        <n v="529"/>
        <n v="534"/>
        <n v="539"/>
        <n v="541"/>
        <n v="544"/>
        <n v="546"/>
        <n v="551"/>
        <n v="556"/>
        <n v="561"/>
        <n v="566"/>
        <n v="571"/>
        <n v="576"/>
        <n v="578"/>
        <n v="581"/>
        <n v="583"/>
        <n v="588"/>
        <n v="593"/>
        <n v="598"/>
        <n v="603"/>
        <n v="608"/>
        <n v="613"/>
        <n v="615"/>
        <n v="618"/>
        <n v="620"/>
        <n v="625"/>
        <n v="630"/>
        <n v="635"/>
        <n v="640"/>
        <n v="645"/>
        <n v="650"/>
        <n v="652"/>
        <n v="655"/>
        <n v="657"/>
        <n v="662"/>
        <n v="667"/>
        <n v="672"/>
        <n v="677"/>
        <n v="682"/>
        <n v="687"/>
        <n v="689"/>
        <n v="692"/>
        <n v="694"/>
        <n v="699"/>
        <n v="704"/>
        <n v="709"/>
        <n v="714"/>
        <n v="719"/>
        <n v="724"/>
        <n v="726"/>
        <n v="729"/>
        <n v="731"/>
        <n v="736"/>
        <n v="741"/>
        <n v="746"/>
        <n v="751"/>
        <n v="756"/>
        <n v="761"/>
        <n v="763"/>
        <n v="766"/>
        <n v="768"/>
        <n v="773"/>
        <n v="778"/>
        <n v="783"/>
        <n v="788"/>
        <n v="793"/>
        <n v="798"/>
        <n v="800"/>
        <n v="803"/>
        <n v="805"/>
        <n v="810"/>
        <n v="815"/>
        <n v="820"/>
        <n v="825"/>
        <n v="830"/>
        <n v="835"/>
        <n v="837"/>
        <n v="840"/>
        <n v="842"/>
        <n v="847"/>
        <n v="852"/>
        <n v="857"/>
        <n v="862"/>
        <n v="867"/>
        <n v="872"/>
        <n v="874"/>
        <n v="877"/>
        <n v="879"/>
        <n v="884"/>
        <n v="889"/>
        <n v="894"/>
        <n v="899"/>
        <n v="904"/>
        <n v="909"/>
        <n v="911"/>
        <n v="914"/>
        <n v="916"/>
        <n v="921"/>
        <n v="926"/>
        <n v="931"/>
        <n v="936"/>
        <n v="941"/>
        <n v="946"/>
        <n v="948"/>
        <n v="951"/>
        <n v="953"/>
        <n v="958"/>
        <n v="963"/>
        <n v="968"/>
        <n v="973"/>
        <n v="978"/>
        <n v="983"/>
        <n v="985"/>
        <n v="988"/>
        <n v="990"/>
        <n v="995"/>
        <n v="1000"/>
        <n v="1005"/>
        <n v="1010"/>
        <n v="1015"/>
        <n v="1020"/>
        <n v="1022"/>
        <n v="1025"/>
        <n v="1027"/>
        <n v="1032"/>
        <n v="1037"/>
        <n v="1042"/>
        <n v="1047"/>
        <n v="1052"/>
        <n v="1057"/>
        <n v="1059"/>
        <n v="1062"/>
        <n v="1064"/>
        <n v="1069"/>
        <n v="1074"/>
        <n v="1079"/>
        <n v="1084"/>
        <n v="1089"/>
        <n v="1094"/>
        <n v="1096"/>
        <n v="1099"/>
        <n v="1101"/>
        <n v="1106"/>
        <n v="1111"/>
        <n v="1116"/>
        <n v="1121"/>
        <n v="1126"/>
        <n v="1131"/>
        <n v="1133"/>
        <n v="1136"/>
        <n v="1138"/>
        <n v="1143"/>
        <n v="1148"/>
        <n v="1153"/>
        <n v="1158"/>
        <n v="1163"/>
        <n v="1168"/>
        <n v="1170"/>
        <n v="1173"/>
        <n v="1175"/>
        <n v="1180"/>
        <n v="1185"/>
        <n v="1190"/>
        <n v="1195"/>
        <n v="1200"/>
        <n v="1205"/>
        <n v="1207"/>
        <n v="1210"/>
        <n v="1212"/>
        <n v="1217"/>
        <n v="1222"/>
        <n v="1227"/>
        <n v="1232"/>
        <n v="1237"/>
        <n v="1242"/>
        <n v="1244"/>
        <n v="1247"/>
        <n v="1249"/>
        <n v="1254"/>
        <n v="1259"/>
        <n v="1264"/>
        <n v="1269"/>
        <n v="1274"/>
        <n v="1279"/>
        <n v="1281"/>
        <n v="1284"/>
        <n v="1286"/>
        <n v="1291"/>
        <n v="1296"/>
        <n v="1301"/>
        <n v="1306"/>
        <n v="1311"/>
        <n v="1316"/>
        <n v="1318"/>
        <n v="1321"/>
        <n v="1323"/>
        <n v="1328"/>
        <n v="1333"/>
        <n v="1338"/>
        <n v="1343"/>
        <n v="1348"/>
        <n v="1353"/>
        <n v="1355"/>
        <n v="1358"/>
        <n v="1360"/>
        <n v="1365"/>
        <n v="1370"/>
        <n v="1375"/>
        <n v="1380"/>
        <n v="1385"/>
        <n v="1390"/>
        <n v="1392"/>
        <n v="1395"/>
        <n v="1397"/>
        <n v="1402"/>
        <n v="1407"/>
        <n v="1412"/>
        <n v="1417"/>
        <n v="1422"/>
        <n v="1427"/>
        <n v="1429"/>
        <n v="1432"/>
        <n v="1434"/>
        <n v="1439"/>
        <n v="1444"/>
        <n v="1449"/>
        <n v="1454"/>
        <n v="1459"/>
        <n v="1464"/>
        <n v="1466"/>
        <n v="1469"/>
        <n v="1471"/>
        <n v="1476"/>
        <n v="1481"/>
        <n v="1486"/>
        <n v="1491"/>
        <n v="1496"/>
        <n v="1501"/>
        <n v="1503"/>
        <n v="1506"/>
        <n v="1508"/>
        <n v="1513"/>
        <n v="1518"/>
        <n v="1523"/>
        <n v="1528"/>
        <n v="1533"/>
        <n v="1538"/>
        <n v="1540"/>
        <n v="1543"/>
        <n v="1545"/>
        <n v="1550"/>
        <n v="1555"/>
        <n v="1560"/>
        <n v="1565"/>
        <n v="1570"/>
        <n v="1575"/>
        <n v="1577"/>
        <n v="1580"/>
        <n v="1582"/>
        <n v="1587"/>
        <n v="1592"/>
        <n v="1597"/>
        <n v="1602"/>
        <n v="1607"/>
        <n v="1612"/>
        <n v="1614"/>
        <n v="1617"/>
        <n v="1619"/>
        <n v="1624"/>
        <n v="1629"/>
        <n v="1634"/>
        <n v="1639"/>
        <n v="1644"/>
        <n v="1649"/>
        <n v="1651"/>
        <n v="1654"/>
        <n v="1656"/>
        <n v="1661"/>
        <n v="1666"/>
        <n v="1671"/>
        <n v="1676"/>
        <n v="1681"/>
        <n v="1686"/>
        <n v="1688"/>
        <n v="1691"/>
        <n v="1693"/>
        <n v="1698"/>
        <n v="1703"/>
        <n v="1708"/>
        <n v="1713"/>
        <n v="1718"/>
        <n v="1723"/>
        <n v="1725"/>
        <n v="1728"/>
        <n v="1730"/>
        <n v="1735"/>
        <n v="1740"/>
        <n v="1745"/>
        <n v="1750"/>
        <n v="1755"/>
        <n v="1760"/>
        <n v="1762"/>
        <n v="1765"/>
        <n v="1767"/>
        <n v="1772"/>
        <n v="1777"/>
        <n v="1782"/>
        <n v="1787"/>
        <n v="1792"/>
        <n v="1797"/>
        <n v="1799"/>
        <n v="1802"/>
        <n v="1804"/>
        <n v="1809"/>
        <n v="1814"/>
        <n v="1819"/>
        <n v="1824"/>
        <n v="1829"/>
        <n v="1834"/>
        <n v="1836"/>
        <n v="1839"/>
        <n v="1841"/>
        <n v="1846"/>
        <n v="1851"/>
        <n v="1856"/>
        <n v="1861"/>
        <n v="1866"/>
        <n v="1871"/>
        <n v="1873"/>
        <n v="1876"/>
        <n v="1878"/>
        <n v="1883"/>
        <n v="1888"/>
        <n v="1893"/>
        <n v="1898"/>
        <n v="1903"/>
        <n v="1908"/>
        <n v="1910"/>
        <n v="1913"/>
        <n v="1915"/>
        <n v="1920"/>
        <n v="1925"/>
        <n v="1930"/>
        <n v="1935"/>
        <n v="1940"/>
        <n v="1945"/>
        <n v="1947"/>
        <n v="1950"/>
        <n v="1952"/>
        <n v="1957"/>
        <n v="1962"/>
        <n v="1967"/>
        <n v="1972"/>
        <n v="1977"/>
        <n v="1982"/>
        <n v="1984"/>
        <n v="1987"/>
        <n v="1989"/>
        <n v="1994"/>
        <n v="1999"/>
        <n v="2004"/>
        <n v="2009"/>
        <n v="2014"/>
        <n v="2019"/>
        <n v="2021"/>
        <n v="2024"/>
        <n v="2026"/>
        <n v="2031"/>
        <n v="2036"/>
        <n v="2041"/>
        <n v="2046"/>
        <n v="2051"/>
        <n v="2056"/>
        <n v="2058"/>
        <n v="2061"/>
        <n v="2063"/>
        <n v="2068"/>
        <n v="2073"/>
        <n v="2078"/>
        <n v="2083"/>
        <n v="2088"/>
        <n v="2093"/>
        <n v="2095"/>
        <n v="2098"/>
        <n v="2100"/>
        <n v="2105"/>
        <n v="2110"/>
        <n v="2115"/>
        <n v="2120"/>
        <n v="2125"/>
        <n v="2130"/>
        <n v="2132"/>
        <n v="2135"/>
        <n v="2137"/>
        <n v="2142"/>
        <n v="2147"/>
        <n v="2152"/>
        <n v="2157"/>
        <n v="2162"/>
        <n v="2167"/>
        <n v="2169"/>
        <n v="2172"/>
        <n v="2174"/>
        <n v="2179"/>
        <n v="2184"/>
        <n v="2189"/>
        <n v="2194"/>
        <n v="2199"/>
        <n v="2204"/>
        <n v="2206"/>
        <n v="2209"/>
        <n v="2211"/>
        <n v="2216"/>
        <n v="2221"/>
        <n v="2226"/>
        <n v="2231"/>
        <n v="2236"/>
        <n v="2241"/>
        <n v="2243"/>
        <n v="2246"/>
        <n v="2248"/>
        <n v="2253"/>
        <n v="2258"/>
        <n v="2263"/>
        <n v="2268"/>
        <n v="2273"/>
        <n v="2278"/>
        <n v="2280"/>
        <n v="2283"/>
        <n v="2285"/>
        <n v="2290"/>
        <n v="2295"/>
        <n v="2300"/>
        <n v="2305"/>
        <n v="2310"/>
        <n v="2315"/>
        <n v="2317"/>
        <n v="2320"/>
        <n v="2322"/>
        <n v="2327"/>
        <n v="2332"/>
        <n v="2337"/>
        <n v="2342"/>
        <n v="2347"/>
        <n v="2352"/>
        <n v="2354"/>
        <n v="2357"/>
        <n v="2359"/>
        <n v="2364"/>
        <n v="2369"/>
        <n v="2374"/>
        <n v="2379"/>
        <n v="2384"/>
        <n v="2389"/>
        <n v="2391"/>
        <n v="2394"/>
        <n v="2396"/>
        <n v="2401"/>
        <n v="2406"/>
        <n v="2411"/>
        <n v="2416"/>
        <n v="2421"/>
        <n v="2426"/>
        <n v="2428"/>
        <n v="2431"/>
        <n v="2433"/>
        <n v="2438"/>
        <n v="2443"/>
        <n v="2448"/>
        <n v="2453"/>
        <n v="2458"/>
        <n v="2463"/>
        <n v="2465"/>
        <n v="2468"/>
        <n v="2470"/>
        <n v="2475"/>
        <n v="2480"/>
        <n v="2485"/>
        <n v="2490"/>
        <n v="2495"/>
        <n v="2500"/>
        <n v="2502"/>
        <n v="2505"/>
        <n v="2507"/>
        <n v="2512"/>
        <n v="2517"/>
        <n v="2522"/>
        <n v="2527"/>
        <n v="2532"/>
        <n v="2537"/>
        <n v="2539"/>
        <n v="2542"/>
        <n v="2544"/>
        <n v="2549"/>
        <n v="2554"/>
        <n v="2559"/>
        <n v="2564"/>
        <n v="2569"/>
        <n v="2574"/>
        <n v="2576"/>
        <n v="2579"/>
        <n v="2581"/>
        <n v="2586"/>
        <n v="2591"/>
        <n v="2596"/>
        <n v="2601"/>
        <n v="2606"/>
        <n v="2611"/>
        <n v="2613"/>
        <n v="2616"/>
        <n v="2618"/>
        <n v="2623"/>
        <n v="2628"/>
        <n v="2633"/>
        <n v="2638"/>
        <n v="2643"/>
        <n v="2648"/>
        <n v="2650"/>
        <n v="2653"/>
        <n v="2655"/>
        <n v="2660"/>
        <n v="2665"/>
        <n v="2670"/>
        <n v="2675"/>
        <n v="2680"/>
        <n v="2685"/>
        <n v="2687"/>
        <n v="2690"/>
        <n v="2692"/>
        <n v="2697"/>
        <n v="2702"/>
        <n v="2707"/>
        <n v="2712"/>
        <n v="2717"/>
        <n v="2722"/>
        <n v="2724"/>
        <n v="2727"/>
        <n v="2729"/>
        <n v="2734"/>
        <n v="2739"/>
        <n v="2744"/>
        <n v="2749"/>
        <n v="2754"/>
        <n v="2759"/>
        <n v="2761"/>
        <n v="2764"/>
        <n v="2766"/>
        <n v="2771"/>
        <n v="2776"/>
        <n v="2781"/>
        <n v="2786"/>
        <n v="2791"/>
        <n v="2796"/>
        <n v="2798"/>
        <n v="2801"/>
        <n v="2803"/>
        <n v="2808"/>
        <n v="2813"/>
        <n v="2818"/>
        <n v="2823"/>
        <n v="2828"/>
        <n v="2833"/>
        <n v="2835"/>
        <n v="2838"/>
        <n v="2840"/>
        <n v="2845"/>
        <n v="2850"/>
        <n v="2855"/>
        <n v="2860"/>
        <n v="2865"/>
        <n v="2870"/>
        <n v="2872"/>
        <n v="2875"/>
        <n v="2877"/>
        <n v="2882"/>
        <n v="2887"/>
        <n v="2892"/>
        <n v="2897"/>
        <n v="2902"/>
        <n v="2907"/>
        <n v="2909"/>
        <n v="2912"/>
        <n v="2914"/>
        <n v="2919"/>
        <n v="2924"/>
        <n v="2929"/>
        <n v="2934"/>
        <n v="2939"/>
        <n v="2944"/>
        <n v="2946"/>
        <n v="2949"/>
        <n v="2951"/>
        <n v="2956"/>
        <n v="2961"/>
        <n v="2966"/>
        <n v="2971"/>
        <n v="2976"/>
        <n v="2981"/>
        <n v="2983"/>
        <n v="2986"/>
        <n v="2988"/>
        <n v="2993"/>
        <n v="2998"/>
        <n v="3003"/>
        <n v="3008"/>
        <n v="3013"/>
        <n v="3018"/>
        <n v="3020"/>
        <n v="3023"/>
        <n v="3025"/>
        <n v="3030"/>
        <n v="3035"/>
        <n v="3040"/>
        <n v="3045"/>
        <n v="3050"/>
        <n v="3055"/>
        <n v="3057"/>
        <n v="3060"/>
        <n v="3062"/>
        <n v="3067"/>
        <n v="3072"/>
        <n v="3077"/>
        <n v="3082"/>
        <n v="3087"/>
        <n v="3092"/>
        <n v="3094"/>
        <n v="3097"/>
        <n v="3099"/>
        <n v="3104"/>
        <n v="3109"/>
        <n v="3114"/>
        <n v="3119"/>
        <n v="3124"/>
        <n v="3129"/>
        <n v="3131"/>
        <n v="3134"/>
        <n v="3136"/>
        <n v="3141"/>
        <n v="3146"/>
        <n v="3151"/>
        <n v="3156"/>
        <n v="3161"/>
        <n v="3166"/>
        <n v="3168"/>
        <n v="3171"/>
        <n v="3173"/>
        <n v="3178"/>
        <n v="3183"/>
        <n v="3188"/>
        <n v="3193"/>
        <n v="3198"/>
        <n v="3203"/>
        <n v="3205"/>
        <n v="3208"/>
        <n v="3210"/>
        <n v="3215"/>
        <n v="3220"/>
        <n v="3225"/>
        <n v="3230"/>
        <n v="3235"/>
        <n v="3240"/>
        <n v="3242"/>
        <n v="3245"/>
        <n v="3247"/>
        <n v="3252"/>
        <n v="3257"/>
        <n v="3262"/>
        <n v="3267"/>
        <n v="3272"/>
        <n v="3277"/>
        <n v="3279"/>
        <n v="3282"/>
        <n v="3284"/>
        <n v="3289"/>
        <n v="3294"/>
        <n v="3299"/>
        <n v="3304"/>
        <n v="3309"/>
        <n v="3314"/>
        <n v="3316"/>
        <n v="3319"/>
        <n v="3321"/>
        <n v="3326"/>
        <n v="3331"/>
        <n v="3336"/>
        <n v="3341"/>
        <n v="3346"/>
        <n v="3351"/>
        <n v="3353"/>
        <n v="3356"/>
        <n v="3358"/>
        <n v="3363"/>
        <n v="3368"/>
        <n v="3373"/>
        <n v="3378"/>
        <n v="3383"/>
        <n v="3388"/>
        <n v="3390"/>
        <n v="3393"/>
        <n v="3395"/>
        <n v="3400"/>
        <n v="3405"/>
        <n v="3410"/>
        <n v="3415"/>
        <n v="3420"/>
        <n v="3425"/>
        <n v="3427"/>
        <n v="3430"/>
        <n v="3432"/>
        <n v="3437"/>
        <n v="3442"/>
        <n v="3447"/>
        <n v="3452"/>
        <n v="3457"/>
        <n v="3462"/>
        <n v="3464"/>
        <n v="3467"/>
        <n v="3469"/>
        <n v="3474"/>
        <n v="3479"/>
        <n v="3484"/>
        <n v="3489"/>
        <n v="3494"/>
        <n v="3499"/>
        <n v="3501"/>
        <n v="3504"/>
        <n v="3506"/>
        <n v="3511"/>
        <n v="3516"/>
        <n v="3521"/>
        <n v="3526"/>
        <n v="3531"/>
        <n v="3536"/>
        <n v="3538"/>
        <n v="3541"/>
        <n v="3543"/>
        <n v="3548"/>
        <n v="3553"/>
        <n v="3558"/>
        <n v="3563"/>
        <n v="3568"/>
        <n v="3573"/>
        <n v="3575"/>
        <n v="3578"/>
        <n v="3580"/>
        <n v="3585"/>
        <n v="3590"/>
        <n v="3595"/>
        <n v="3600"/>
        <n v="3605"/>
        <n v="3610"/>
        <n v="3612"/>
        <n v="3615"/>
        <n v="3617"/>
        <n v="3622"/>
        <n v="3627"/>
        <n v="3632"/>
        <n v="3637"/>
        <n v="3642"/>
        <n v="3647"/>
        <n v="3649"/>
        <n v="3652"/>
        <n v="3654"/>
        <n v="3659"/>
        <n v="3664"/>
        <n v="3669"/>
        <n v="3674"/>
        <n v="3679"/>
        <n v="3684"/>
        <n v="3686"/>
        <n v="3689"/>
        <n v="3691"/>
        <n v="3696"/>
        <n v="3701"/>
        <n v="3706"/>
        <n v="3711"/>
        <n v="3716"/>
        <n v="3721"/>
        <n v="3723"/>
        <n v="3726"/>
        <n v="3728"/>
        <n v="3733"/>
        <n v="3738"/>
        <n v="3743"/>
        <n v="3748"/>
        <n v="3753"/>
        <n v="3758"/>
        <n v="3760"/>
        <n v="3763"/>
        <n v="3765"/>
        <n v="3770"/>
        <n v="3775"/>
        <n v="3780"/>
        <n v="3785"/>
        <n v="3790"/>
        <n v="3795"/>
        <n v="3797"/>
        <n v="3800"/>
        <n v="3802"/>
        <n v="3807"/>
        <n v="3812"/>
        <n v="3817"/>
        <n v="3822"/>
        <n v="3827"/>
        <n v="3832"/>
        <n v="3834"/>
        <n v="3837"/>
        <n v="3839"/>
        <n v="3844"/>
        <n v="3849"/>
        <n v="3854"/>
        <n v="3859"/>
        <n v="3864"/>
        <n v="3869"/>
        <n v="3871"/>
        <n v="3874"/>
        <n v="3876"/>
        <n v="3881"/>
        <n v="3886"/>
        <n v="3891"/>
        <n v="3896"/>
        <n v="3901"/>
        <n v="3906"/>
        <n v="3908"/>
        <n v="3911"/>
        <n v="3913"/>
        <n v="3918"/>
        <n v="3923"/>
        <n v="3928"/>
        <n v="3933"/>
        <n v="3938"/>
        <n v="3943"/>
        <n v="3945"/>
        <n v="3948"/>
        <n v="3950"/>
        <n v="3955"/>
        <n v="3960"/>
        <n v="3965"/>
        <n v="3970"/>
        <n v="3975"/>
        <n v="3980"/>
        <n v="3982"/>
        <n v="3985"/>
        <n v="3987"/>
        <n v="3992"/>
        <n v="3997"/>
        <n v="4002"/>
        <n v="4007"/>
        <n v="4012"/>
        <n v="4017"/>
        <n v="4019"/>
        <n v="4022"/>
        <n v="4024"/>
        <n v="4029"/>
        <n v="4034"/>
        <n v="4039"/>
        <n v="4044"/>
        <n v="4049"/>
        <n v="4054"/>
        <n v="4056"/>
        <n v="4059"/>
        <n v="4061"/>
        <n v="4066"/>
        <n v="4071"/>
        <n v="4076"/>
        <n v="4081"/>
        <n v="4086"/>
        <n v="4091"/>
        <n v="4093"/>
        <n v="4096"/>
        <n v="4098"/>
        <n v="4103"/>
        <n v="4108"/>
        <n v="4113"/>
        <n v="4118"/>
        <n v="4123"/>
        <n v="4128"/>
        <n v="4130"/>
        <n v="4133"/>
        <n v="4135"/>
        <n v="4140"/>
        <n v="4145"/>
        <n v="4150"/>
        <n v="4155"/>
        <n v="4160"/>
        <n v="4165"/>
        <n v="4167"/>
        <n v="4170"/>
        <n v="4172"/>
        <n v="4177"/>
        <n v="4182"/>
        <n v="4187"/>
        <n v="4192"/>
        <n v="4197"/>
        <n v="4202"/>
        <n v="4204"/>
        <n v="4207"/>
        <n v="4209"/>
        <n v="4214"/>
        <n v="4219"/>
        <n v="4224"/>
        <n v="4229"/>
        <n v="4234"/>
        <n v="4239"/>
        <n v="4241"/>
        <n v="4244"/>
        <n v="4246"/>
        <n v="4251"/>
        <n v="4256"/>
        <n v="4261"/>
        <n v="4266"/>
        <n v="4271"/>
        <n v="4276"/>
        <n v="4278"/>
        <n v="4281"/>
        <n v="4283"/>
        <n v="4288"/>
        <n v="4293"/>
        <n v="4298"/>
        <n v="4303"/>
        <n v="4308"/>
        <n v="4313"/>
        <n v="4315"/>
        <n v="4318"/>
        <n v="4320"/>
        <n v="4325"/>
        <n v="4330"/>
        <n v="4335"/>
        <n v="4340"/>
        <n v="4345"/>
        <n v="4350"/>
        <n v="4352"/>
        <n v="4355"/>
        <n v="4357"/>
        <n v="4362"/>
        <n v="4367"/>
        <n v="4372"/>
        <n v="4377"/>
        <n v="4382"/>
        <n v="4387"/>
        <n v="4389"/>
        <n v="4392"/>
        <n v="4394"/>
        <n v="4399"/>
        <n v="4404"/>
        <n v="4409"/>
        <n v="4414"/>
        <n v="4419"/>
        <n v="4424"/>
        <n v="4426"/>
        <n v="4429"/>
        <n v="4431"/>
        <n v="4436"/>
        <n v="4441"/>
        <n v="4446"/>
        <n v="4451"/>
        <n v="4456"/>
        <n v="4461"/>
        <n v="4463"/>
        <n v="4466"/>
        <n v="4468"/>
        <n v="4473"/>
        <n v="4478"/>
        <n v="4483"/>
        <n v="4488"/>
        <n v="4493"/>
        <n v="4498"/>
        <n v="4500"/>
        <n v="4503"/>
        <n v="4505"/>
        <n v="4510"/>
        <n v="4515"/>
        <n v="4520"/>
        <n v="4525"/>
        <n v="4530"/>
        <n v="4535"/>
        <n v="4540"/>
        <n v="4542"/>
        <n v="4547"/>
        <n v="4552"/>
        <n v="4557"/>
        <n v="4562"/>
        <n v="4567"/>
        <n v="4572"/>
        <n v="4577"/>
        <n v="4579"/>
        <n v="4584"/>
        <n v="4589"/>
        <n v="4594"/>
        <n v="4599"/>
        <n v="4604"/>
        <n v="4609"/>
        <n v="4614"/>
        <n v="4616"/>
        <n v="4621"/>
        <n v="4626"/>
        <n v="4631"/>
        <n v="4636"/>
        <n v="4641"/>
        <n v="4646"/>
        <n v="4651"/>
        <n v="4653"/>
        <n v="4658"/>
        <n v="4663"/>
        <n v="4668"/>
        <n v="4673"/>
        <n v="4678"/>
        <n v="4683"/>
        <n v="4688"/>
        <n v="4690"/>
        <n v="4695"/>
        <n v="4700"/>
        <n v="4705"/>
        <n v="4710"/>
        <n v="4715"/>
        <n v="4720"/>
        <n v="4725"/>
        <n v="4727"/>
        <n v="4732"/>
        <n v="4737"/>
        <n v="4742"/>
        <n v="4747"/>
        <n v="4752"/>
        <n v="4757"/>
        <n v="4762"/>
        <n v="4764"/>
        <n v="4769"/>
        <n v="4774"/>
        <n v="4779"/>
        <n v="4784"/>
        <n v="4789"/>
        <n v="4794"/>
        <n v="4799"/>
        <n v="4801"/>
        <n v="4806"/>
        <n v="4811"/>
        <n v="4816"/>
        <n v="4821"/>
        <n v="4826"/>
        <n v="4831"/>
        <n v="4836"/>
        <n v="4838"/>
        <n v="4843"/>
        <n v="4848"/>
        <n v="4853"/>
        <n v="4858"/>
        <n v="4863"/>
        <n v="4868"/>
        <n v="4873"/>
        <n v="4875"/>
        <n v="4880"/>
        <n v="4885"/>
        <n v="4890"/>
        <n v="4895"/>
        <n v="4900"/>
        <n v="4905"/>
        <n v="4910"/>
        <n v="4912"/>
        <n v="4917"/>
        <n v="4922"/>
        <n v="4927"/>
        <n v="4932"/>
        <n v="4937"/>
        <n v="4942"/>
        <n v="4947"/>
        <n v="4949"/>
        <n v="4954"/>
        <n v="4959"/>
        <n v="4964"/>
        <n v="4969"/>
        <n v="4974"/>
        <n v="4979"/>
        <n v="4984"/>
        <n v="4986"/>
        <n v="4991"/>
        <n v="4996"/>
        <n v="5001"/>
        <n v="5006"/>
        <n v="5011"/>
        <n v="5016"/>
        <n v="5021"/>
        <n v="5023"/>
        <n v="5028"/>
        <n v="5033"/>
        <n v="5038"/>
        <n v="5043"/>
        <n v="5048"/>
        <n v="5053"/>
        <n v="5058"/>
        <n v="5060"/>
        <n v="5065"/>
        <n v="5070"/>
        <n v="5075"/>
        <n v="5080"/>
        <n v="5085"/>
        <n v="5090"/>
        <n v="5095"/>
        <n v="5097"/>
      </sharedItems>
    </cacheField>
    <cacheField name="TaxRate" numFmtId="0">
      <sharedItems containsSemiMixedTypes="0" containsString="0" containsNumber="1" minValue="0.05" maxValue="0.15" count="3">
        <n v="0.05"/>
        <n v="0.1"/>
        <n v="0.15"/>
      </sharedItems>
    </cacheField>
    <cacheField name="Tax" numFmtId="0">
      <sharedItems containsSemiMixedTypes="0" containsString="0" containsNumber="1" minValue="8.55" maxValue="758.7" count="1200">
        <n v="8.55"/>
        <n v="8.8"/>
        <n v="9.05"/>
        <n v="9.3"/>
        <n v="9.55"/>
        <n v="9.8"/>
        <n v="10.05"/>
        <n v="10.2"/>
        <n v="10.3"/>
        <n v="10.55"/>
        <n v="10.7"/>
        <n v="11.2"/>
        <n v="11.7"/>
        <n v="12.2"/>
        <n v="12.7"/>
        <n v="13.2"/>
        <n v="13.7"/>
        <n v="14.1"/>
        <n v="14.35"/>
        <n v="14.6"/>
        <n v="14.85"/>
        <n v="15.1"/>
        <n v="15.35"/>
        <n v="15.6"/>
        <n v="15.85"/>
        <n v="16.1"/>
        <n v="19.65"/>
        <n v="19.9"/>
        <n v="20.1"/>
        <n v="20.15"/>
        <n v="20.4"/>
        <n v="20.65"/>
        <n v="20.8"/>
        <n v="20.85"/>
        <n v="20.9"/>
        <n v="21.15"/>
        <n v="21.3"/>
        <n v="21.4"/>
        <n v="21.6"/>
        <n v="21.65"/>
        <n v="21.8"/>
        <n v="22.3"/>
        <n v="22.35"/>
        <n v="22.8"/>
        <n v="23.1"/>
        <n v="23.3"/>
        <n v="23.8"/>
        <n v="23.85"/>
        <n v="24.3"/>
        <n v="24.6"/>
        <n v="24.8"/>
        <n v="25.2"/>
        <n v="25.35"/>
        <n v="25.45"/>
        <n v="25.7"/>
        <n v="25.95"/>
        <n v="26.1"/>
        <n v="26.2"/>
        <n v="26.45"/>
        <n v="26.7"/>
        <n v="26.95"/>
        <n v="27.2"/>
        <n v="30.75"/>
        <n v="31"/>
        <n v="31.25"/>
        <n v="31.5"/>
        <n v="31.75"/>
        <n v="31.9"/>
        <n v="32"/>
        <n v="32.25"/>
        <n v="32.4"/>
        <n v="32.5"/>
        <n v="32.75"/>
        <n v="32.9"/>
        <n v="33.4"/>
        <n v="33.9"/>
        <n v="34.4"/>
        <n v="34.9"/>
        <n v="35.4"/>
        <n v="35.9"/>
        <n v="36.3"/>
        <n v="36.55"/>
        <n v="36.75"/>
        <n v="36.8"/>
        <n v="37.05"/>
        <n v="37.3"/>
        <n v="37.5"/>
        <n v="37.55"/>
        <n v="37.8"/>
        <n v="38.05"/>
        <n v="38.25"/>
        <n v="38.3"/>
        <n v="39"/>
        <n v="39.75"/>
        <n v="40.5"/>
        <n v="41.25"/>
        <n v="41.85"/>
        <n v="42"/>
        <n v="42.1"/>
        <n v="42.35"/>
        <n v="42.6"/>
        <n v="42.75"/>
        <n v="42.85"/>
        <n v="43"/>
        <n v="43.1"/>
        <n v="43.35"/>
        <n v="43.5"/>
        <n v="43.6"/>
        <n v="43.85"/>
        <n v="44"/>
        <n v="44.5"/>
        <n v="45"/>
        <n v="45.5"/>
        <n v="46"/>
        <n v="46.5"/>
        <n v="47"/>
        <n v="47.4"/>
        <n v="47.65"/>
        <n v="47.9"/>
        <n v="48.15"/>
        <n v="48.4"/>
        <n v="48.65"/>
        <n v="48.9"/>
        <n v="49.15"/>
        <n v="49.4"/>
        <n v="52.95"/>
        <n v="53.2"/>
        <n v="53.4"/>
        <n v="53.45"/>
        <n v="53.7"/>
        <n v="53.95"/>
        <n v="54.1"/>
        <n v="54.15"/>
        <n v="54.2"/>
        <n v="54.45"/>
        <n v="54.6"/>
        <n v="54.7"/>
        <n v="54.9"/>
        <n v="54.95"/>
        <n v="55.1"/>
        <n v="55.6"/>
        <n v="55.65"/>
        <n v="56.1"/>
        <n v="56.4"/>
        <n v="56.6"/>
        <n v="57.1"/>
        <n v="57.15"/>
        <n v="57.6"/>
        <n v="57.9"/>
        <n v="58.1"/>
        <n v="58.5"/>
        <n v="58.65"/>
        <n v="58.75"/>
        <n v="59"/>
        <n v="59.25"/>
        <n v="59.4"/>
        <n v="59.5"/>
        <n v="59.75"/>
        <n v="60"/>
        <n v="60.25"/>
        <n v="60.5"/>
        <n v="64.05"/>
        <n v="64.3"/>
        <n v="64.55"/>
        <n v="64.8"/>
        <n v="65.05"/>
        <n v="65.2"/>
        <n v="65.3"/>
        <n v="65.55"/>
        <n v="65.7"/>
        <n v="65.8"/>
        <n v="66.05"/>
        <n v="66.2"/>
        <n v="66.7"/>
        <n v="67.2"/>
        <n v="67.7"/>
        <n v="68.2"/>
        <n v="68.7"/>
        <n v="69.2"/>
        <n v="69.6"/>
        <n v="69.85"/>
        <n v="70.05"/>
        <n v="70.1"/>
        <n v="70.35"/>
        <n v="70.6"/>
        <n v="70.8"/>
        <n v="70.85"/>
        <n v="71.1"/>
        <n v="71.35"/>
        <n v="71.55"/>
        <n v="71.6"/>
        <n v="72.3"/>
        <n v="73.05"/>
        <n v="73.8"/>
        <n v="74.55"/>
        <n v="75.15"/>
        <n v="75.3"/>
        <n v="75.4"/>
        <n v="75.65"/>
        <n v="75.9"/>
        <n v="76.05"/>
        <n v="76.15"/>
        <n v="76.3"/>
        <n v="76.4"/>
        <n v="76.65"/>
        <n v="76.8"/>
        <n v="76.9"/>
        <n v="77.15"/>
        <n v="77.3"/>
        <n v="77.8"/>
        <n v="78.3"/>
        <n v="78.8"/>
        <n v="79.3"/>
        <n v="79.8"/>
        <n v="80.3"/>
        <n v="80.7"/>
        <n v="80.95"/>
        <n v="81.2"/>
        <n v="81.45"/>
        <n v="81.7"/>
        <n v="81.95"/>
        <n v="82.2"/>
        <n v="82.45"/>
        <n v="82.7"/>
        <n v="86.25"/>
        <n v="86.5"/>
        <n v="86.7"/>
        <n v="86.75"/>
        <n v="87"/>
        <n v="87.25"/>
        <n v="87.4"/>
        <n v="87.45"/>
        <n v="87.5"/>
        <n v="87.75"/>
        <n v="87.9"/>
        <n v="88"/>
        <n v="88.2"/>
        <n v="88.25"/>
        <n v="88.4"/>
        <n v="88.9"/>
        <n v="88.95"/>
        <n v="89.4"/>
        <n v="89.7"/>
        <n v="89.9"/>
        <n v="90.4"/>
        <n v="90.45"/>
        <n v="90.9"/>
        <n v="91.2"/>
        <n v="91.4"/>
        <n v="91.8"/>
        <n v="91.95"/>
        <n v="92.05"/>
        <n v="92.3"/>
        <n v="92.55"/>
        <n v="92.7"/>
        <n v="92.8"/>
        <n v="93.05"/>
        <n v="93.3"/>
        <n v="93.55"/>
        <n v="93.8"/>
        <n v="97.35"/>
        <n v="97.6"/>
        <n v="97.85"/>
        <n v="98.1"/>
        <n v="98.35"/>
        <n v="98.5"/>
        <n v="98.6"/>
        <n v="98.85"/>
        <n v="99"/>
        <n v="99.1"/>
        <n v="99.35"/>
        <n v="99.5"/>
        <n v="100"/>
        <n v="100.5"/>
        <n v="101"/>
        <n v="101.5"/>
        <n v="102"/>
        <n v="102.5"/>
        <n v="102.9"/>
        <n v="103.15"/>
        <n v="103.35"/>
        <n v="103.4"/>
        <n v="103.65"/>
        <n v="103.9"/>
        <n v="104.1"/>
        <n v="104.15"/>
        <n v="104.4"/>
        <n v="104.65"/>
        <n v="104.85"/>
        <n v="104.9"/>
        <n v="105.6"/>
        <n v="106.35"/>
        <n v="107.1"/>
        <n v="107.85"/>
        <n v="108.45"/>
        <n v="108.6"/>
        <n v="108.7"/>
        <n v="108.95"/>
        <n v="109.2"/>
        <n v="109.35"/>
        <n v="109.45"/>
        <n v="109.6"/>
        <n v="109.7"/>
        <n v="109.95"/>
        <n v="110.1"/>
        <n v="110.2"/>
        <n v="110.45"/>
        <n v="110.6"/>
        <n v="111.1"/>
        <n v="111.6"/>
        <n v="112.1"/>
        <n v="112.6"/>
        <n v="113.1"/>
        <n v="113.6"/>
        <n v="114"/>
        <n v="114.25"/>
        <n v="114.5"/>
        <n v="114.75"/>
        <n v="115"/>
        <n v="115.25"/>
        <n v="115.5"/>
        <n v="115.75"/>
        <n v="116"/>
        <n v="119.55"/>
        <n v="119.8"/>
        <n v="120"/>
        <n v="120.05"/>
        <n v="120.3"/>
        <n v="120.55"/>
        <n v="120.7"/>
        <n v="120.75"/>
        <n v="120.8"/>
        <n v="121.05"/>
        <n v="121.2"/>
        <n v="121.3"/>
        <n v="121.5"/>
        <n v="121.55"/>
        <n v="121.7"/>
        <n v="122.2"/>
        <n v="122.25"/>
        <n v="122.7"/>
        <n v="123"/>
        <n v="123.2"/>
        <n v="123.7"/>
        <n v="123.75"/>
        <n v="124.2"/>
        <n v="124.5"/>
        <n v="124.7"/>
        <n v="125.1"/>
        <n v="125.25"/>
        <n v="125.35"/>
        <n v="125.6"/>
        <n v="125.85"/>
        <n v="126"/>
        <n v="126.1"/>
        <n v="126.35"/>
        <n v="126.6"/>
        <n v="126.85"/>
        <n v="127.1"/>
        <n v="130.65"/>
        <n v="130.9"/>
        <n v="131.15"/>
        <n v="131.4"/>
        <n v="131.65"/>
        <n v="131.8"/>
        <n v="131.9"/>
        <n v="132.15"/>
        <n v="132.3"/>
        <n v="132.4"/>
        <n v="132.65"/>
        <n v="132.8"/>
        <n v="133.3"/>
        <n v="133.8"/>
        <n v="134.3"/>
        <n v="134.8"/>
        <n v="135.3"/>
        <n v="135.8"/>
        <n v="136.2"/>
        <n v="136.45"/>
        <n v="136.65"/>
        <n v="136.7"/>
        <n v="136.95"/>
        <n v="137.2"/>
        <n v="137.4"/>
        <n v="137.45"/>
        <n v="137.7"/>
        <n v="137.95"/>
        <n v="138.15"/>
        <n v="138.2"/>
        <n v="138.9"/>
        <n v="139.65"/>
        <n v="140.4"/>
        <n v="141.15"/>
        <n v="141.75"/>
        <n v="141.9"/>
        <n v="142"/>
        <n v="142.25"/>
        <n v="142.5"/>
        <n v="142.65"/>
        <n v="142.75"/>
        <n v="142.9"/>
        <n v="143"/>
        <n v="143.25"/>
        <n v="143.4"/>
        <n v="143.5"/>
        <n v="143.75"/>
        <n v="143.9"/>
        <n v="144.4"/>
        <n v="144.9"/>
        <n v="145.4"/>
        <n v="145.9"/>
        <n v="146.4"/>
        <n v="146.9"/>
        <n v="147.3"/>
        <n v="147.55"/>
        <n v="147.8"/>
        <n v="148.05"/>
        <n v="148.3"/>
        <n v="148.55"/>
        <n v="148.8"/>
        <n v="149.05"/>
        <n v="149.3"/>
        <n v="152.85"/>
        <n v="153.1"/>
        <n v="153.3"/>
        <n v="153.35"/>
        <n v="153.6"/>
        <n v="153.85"/>
        <n v="154"/>
        <n v="154.05"/>
        <n v="154.1"/>
        <n v="154.35"/>
        <n v="154.5"/>
        <n v="154.6"/>
        <n v="154.8"/>
        <n v="154.85"/>
        <n v="155"/>
        <n v="155.5"/>
        <n v="155.55"/>
        <n v="156"/>
        <n v="156.3"/>
        <n v="156.5"/>
        <n v="157"/>
        <n v="157.05"/>
        <n v="157.5"/>
        <n v="157.8"/>
        <n v="158"/>
        <n v="158.4"/>
        <n v="158.55"/>
        <n v="158.65"/>
        <n v="158.9"/>
        <n v="159.15"/>
        <n v="159.3"/>
        <n v="159.4"/>
        <n v="159.65"/>
        <n v="159.9"/>
        <n v="160.15"/>
        <n v="160.4"/>
        <n v="163.95"/>
        <n v="164.2"/>
        <n v="164.45"/>
        <n v="164.7"/>
        <n v="164.95"/>
        <n v="165.1"/>
        <n v="165.2"/>
        <n v="165.45"/>
        <n v="165.6"/>
        <n v="165.7"/>
        <n v="165.95"/>
        <n v="166.1"/>
        <n v="166.6"/>
        <n v="167.1"/>
        <n v="167.6"/>
        <n v="168.1"/>
        <n v="168.6"/>
        <n v="169.1"/>
        <n v="169.5"/>
        <n v="169.75"/>
        <n v="169.95"/>
        <n v="170"/>
        <n v="170.25"/>
        <n v="170.5"/>
        <n v="170.7"/>
        <n v="170.75"/>
        <n v="171"/>
        <n v="171.25"/>
        <n v="171.45"/>
        <n v="171.5"/>
        <n v="172.2"/>
        <n v="172.95"/>
        <n v="173.7"/>
        <n v="174.45"/>
        <n v="175.05"/>
        <n v="175.2"/>
        <n v="175.3"/>
        <n v="175.55"/>
        <n v="175.8"/>
        <n v="175.95"/>
        <n v="176.05"/>
        <n v="176.2"/>
        <n v="176.3"/>
        <n v="176.55"/>
        <n v="176.7"/>
        <n v="176.8"/>
        <n v="177.05"/>
        <n v="177.2"/>
        <n v="177.7"/>
        <n v="178.2"/>
        <n v="178.7"/>
        <n v="179.2"/>
        <n v="179.7"/>
        <n v="180.2"/>
        <n v="180.6"/>
        <n v="180.85"/>
        <n v="181.1"/>
        <n v="181.35"/>
        <n v="181.6"/>
        <n v="181.85"/>
        <n v="182.1"/>
        <n v="182.35"/>
        <n v="182.6"/>
        <n v="186.15"/>
        <n v="186.4"/>
        <n v="186.6"/>
        <n v="186.65"/>
        <n v="186.9"/>
        <n v="187.15"/>
        <n v="187.3"/>
        <n v="187.35"/>
        <n v="187.4"/>
        <n v="187.65"/>
        <n v="187.8"/>
        <n v="187.9"/>
        <n v="188.1"/>
        <n v="188.15"/>
        <n v="188.3"/>
        <n v="188.8"/>
        <n v="188.85"/>
        <n v="189.3"/>
        <n v="189.6"/>
        <n v="189.8"/>
        <n v="190.3"/>
        <n v="190.35"/>
        <n v="190.8"/>
        <n v="191.1"/>
        <n v="191.3"/>
        <n v="191.7"/>
        <n v="191.85"/>
        <n v="191.95"/>
        <n v="192.2"/>
        <n v="192.45"/>
        <n v="192.6"/>
        <n v="192.7"/>
        <n v="192.95"/>
        <n v="193.2"/>
        <n v="193.45"/>
        <n v="193.7"/>
        <n v="197.25"/>
        <n v="197.5"/>
        <n v="197.75"/>
        <n v="198"/>
        <n v="198.25"/>
        <n v="198.4"/>
        <n v="198.5"/>
        <n v="198.75"/>
        <n v="198.9"/>
        <n v="199"/>
        <n v="199.25"/>
        <n v="199.4"/>
        <n v="199.9"/>
        <n v="200.4"/>
        <n v="200.9"/>
        <n v="201.4"/>
        <n v="201.9"/>
        <n v="202.4"/>
        <n v="202.8"/>
        <n v="203.05"/>
        <n v="203.25"/>
        <n v="203.3"/>
        <n v="203.55"/>
        <n v="203.8"/>
        <n v="204"/>
        <n v="204.05"/>
        <n v="204.3"/>
        <n v="204.55"/>
        <n v="204.75"/>
        <n v="204.8"/>
        <n v="205.5"/>
        <n v="206.25"/>
        <n v="207"/>
        <n v="207.75"/>
        <n v="208.35"/>
        <n v="208.5"/>
        <n v="208.6"/>
        <n v="208.85"/>
        <n v="209.1"/>
        <n v="209.25"/>
        <n v="209.35"/>
        <n v="209.5"/>
        <n v="209.6"/>
        <n v="209.85"/>
        <n v="210"/>
        <n v="210.1"/>
        <n v="210.35"/>
        <n v="210.5"/>
        <n v="211"/>
        <n v="211.5"/>
        <n v="212"/>
        <n v="212.5"/>
        <n v="213"/>
        <n v="213.5"/>
        <n v="213.9"/>
        <n v="214.15"/>
        <n v="214.4"/>
        <n v="214.65"/>
        <n v="214.9"/>
        <n v="215.15"/>
        <n v="215.4"/>
        <n v="215.65"/>
        <n v="215.9"/>
        <n v="219.45"/>
        <n v="219.7"/>
        <n v="219.9"/>
        <n v="219.95"/>
        <n v="220.2"/>
        <n v="220.45"/>
        <n v="220.6"/>
        <n v="220.65"/>
        <n v="220.7"/>
        <n v="220.95"/>
        <n v="221.1"/>
        <n v="221.2"/>
        <n v="221.4"/>
        <n v="221.45"/>
        <n v="221.6"/>
        <n v="222.1"/>
        <n v="222.15"/>
        <n v="222.6"/>
        <n v="222.9"/>
        <n v="223.1"/>
        <n v="223.6"/>
        <n v="223.65"/>
        <n v="224.1"/>
        <n v="224.4"/>
        <n v="224.6"/>
        <n v="225"/>
        <n v="225.15"/>
        <n v="225.25"/>
        <n v="225.5"/>
        <n v="225.75"/>
        <n v="225.9"/>
        <n v="226"/>
        <n v="226.25"/>
        <n v="226.5"/>
        <n v="226.75"/>
        <n v="227"/>
        <n v="230.8"/>
        <n v="231.05"/>
        <n v="231.3"/>
        <n v="231.55"/>
        <n v="231.7"/>
        <n v="231.8"/>
        <n v="232.05"/>
        <n v="232.2"/>
        <n v="232.3"/>
        <n v="232.55"/>
        <n v="232.7"/>
        <n v="233.2"/>
        <n v="233.7"/>
        <n v="234.2"/>
        <n v="234.7"/>
        <n v="235.2"/>
        <n v="235.7"/>
        <n v="236.35"/>
        <n v="236.55"/>
        <n v="236.6"/>
        <n v="236.85"/>
        <n v="237.1"/>
        <n v="237.3"/>
        <n v="237.35"/>
        <n v="237.6"/>
        <n v="237.85"/>
        <n v="238.05"/>
        <n v="238.1"/>
        <n v="238.8"/>
        <n v="239.55"/>
        <n v="240.3"/>
        <n v="241.05"/>
        <n v="241.8"/>
        <n v="241.9"/>
        <n v="242.15"/>
        <n v="242.4"/>
        <n v="242.55"/>
        <n v="242.65"/>
        <n v="242.8"/>
        <n v="242.9"/>
        <n v="243.15"/>
        <n v="243.3"/>
        <n v="243.4"/>
        <n v="243.65"/>
        <n v="243.8"/>
        <n v="244.3"/>
        <n v="244.8"/>
        <n v="245.3"/>
        <n v="245.8"/>
        <n v="246.3"/>
        <n v="246.8"/>
        <n v="247.45"/>
        <n v="247.7"/>
        <n v="247.95"/>
        <n v="248.2"/>
        <n v="248.45"/>
        <n v="248.7"/>
        <n v="248.95"/>
        <n v="249.2"/>
        <n v="253"/>
        <n v="253.2"/>
        <n v="253.25"/>
        <n v="253.5"/>
        <n v="253.75"/>
        <n v="253.9"/>
        <n v="253.95"/>
        <n v="254"/>
        <n v="254.25"/>
        <n v="254.4"/>
        <n v="254.5"/>
        <n v="254.7"/>
        <n v="254.75"/>
        <n v="254.9"/>
        <n v="255.4"/>
        <n v="255.45"/>
        <n v="255.9"/>
        <n v="256.2"/>
        <n v="256.4"/>
        <n v="256.9"/>
        <n v="256.95"/>
        <n v="257.4"/>
        <n v="257.7"/>
        <n v="257.9"/>
        <n v="258.45"/>
        <n v="259.2"/>
        <n v="265"/>
        <n v="265.5"/>
        <n v="266"/>
        <n v="266.5"/>
        <n v="267"/>
        <n v="267.5"/>
        <n v="268"/>
        <n v="268.5"/>
        <n v="269"/>
        <n v="269.85"/>
        <n v="270.6"/>
        <n v="271.35"/>
        <n v="272.1"/>
        <n v="272.85"/>
        <n v="273.6"/>
        <n v="274.35"/>
        <n v="275.1"/>
        <n v="275.85"/>
        <n v="276.1"/>
        <n v="276.6"/>
        <n v="277.1"/>
        <n v="277.6"/>
        <n v="278.1"/>
        <n v="278.6"/>
        <n v="279.1"/>
        <n v="279.6"/>
        <n v="280.1"/>
        <n v="286.5"/>
        <n v="287.2"/>
        <n v="287.25"/>
        <n v="287.7"/>
        <n v="288"/>
        <n v="288.2"/>
        <n v="288.7"/>
        <n v="288.75"/>
        <n v="289.2"/>
        <n v="289.5"/>
        <n v="289.7"/>
        <n v="290.2"/>
        <n v="290.25"/>
        <n v="290.7"/>
        <n v="291"/>
        <n v="291.2"/>
        <n v="291.75"/>
        <n v="292.5"/>
        <n v="298.3"/>
        <n v="298.8"/>
        <n v="299.3"/>
        <n v="299.8"/>
        <n v="300.3"/>
        <n v="300.8"/>
        <n v="301.3"/>
        <n v="301.8"/>
        <n v="302.3"/>
        <n v="303.15"/>
        <n v="303.9"/>
        <n v="304.65"/>
        <n v="305.4"/>
        <n v="306.15"/>
        <n v="306.9"/>
        <n v="307.65"/>
        <n v="308.4"/>
        <n v="309.15"/>
        <n v="309.4"/>
        <n v="309.9"/>
        <n v="310.4"/>
        <n v="310.9"/>
        <n v="311.4"/>
        <n v="311.9"/>
        <n v="312.4"/>
        <n v="312.9"/>
        <n v="313.4"/>
        <n v="319.8"/>
        <n v="320.5"/>
        <n v="320.55"/>
        <n v="321"/>
        <n v="321.3"/>
        <n v="321.5"/>
        <n v="322"/>
        <n v="322.05"/>
        <n v="322.5"/>
        <n v="322.8"/>
        <n v="323"/>
        <n v="323.5"/>
        <n v="323.55"/>
        <n v="324"/>
        <n v="324.3"/>
        <n v="324.5"/>
        <n v="325.05"/>
        <n v="325.8"/>
        <n v="331.6"/>
        <n v="332.1"/>
        <n v="332.6"/>
        <n v="333.1"/>
        <n v="333.6"/>
        <n v="334.1"/>
        <n v="334.6"/>
        <n v="335.1"/>
        <n v="335.6"/>
        <n v="336.45"/>
        <n v="337.2"/>
        <n v="337.95"/>
        <n v="338.7"/>
        <n v="339.45"/>
        <n v="340.2"/>
        <n v="340.95"/>
        <n v="341.7"/>
        <n v="342.45"/>
        <n v="342.7"/>
        <n v="343.2"/>
        <n v="343.7"/>
        <n v="344.2"/>
        <n v="344.7"/>
        <n v="345.2"/>
        <n v="345.7"/>
        <n v="346.2"/>
        <n v="346.7"/>
        <n v="353.1"/>
        <n v="353.8"/>
        <n v="353.85"/>
        <n v="354.3"/>
        <n v="354.6"/>
        <n v="354.8"/>
        <n v="355.3"/>
        <n v="355.35"/>
        <n v="355.8"/>
        <n v="356.1"/>
        <n v="356.3"/>
        <n v="356.8"/>
        <n v="356.85"/>
        <n v="357.3"/>
        <n v="357.6"/>
        <n v="357.8"/>
        <n v="358.35"/>
        <n v="359.1"/>
        <n v="364.9"/>
        <n v="365.4"/>
        <n v="365.9"/>
        <n v="366.4"/>
        <n v="366.9"/>
        <n v="367.4"/>
        <n v="367.9"/>
        <n v="368.4"/>
        <n v="368.9"/>
        <n v="369.75"/>
        <n v="370.5"/>
        <n v="371.25"/>
        <n v="372"/>
        <n v="372.75"/>
        <n v="373.5"/>
        <n v="374.25"/>
        <n v="375"/>
        <n v="375.75"/>
        <n v="376"/>
        <n v="376.5"/>
        <n v="377"/>
        <n v="377.5"/>
        <n v="378"/>
        <n v="378.5"/>
        <n v="379"/>
        <n v="379.5"/>
        <n v="380"/>
        <n v="386.4"/>
        <n v="387.1"/>
        <n v="387.15"/>
        <n v="387.6"/>
        <n v="387.9"/>
        <n v="388.1"/>
        <n v="388.6"/>
        <n v="388.65"/>
        <n v="389.1"/>
        <n v="389.4"/>
        <n v="389.6"/>
        <n v="390.1"/>
        <n v="390.15"/>
        <n v="390.6"/>
        <n v="390.9"/>
        <n v="391.1"/>
        <n v="391.65"/>
        <n v="392.4"/>
        <n v="398.2"/>
        <n v="398.7"/>
        <n v="399.2"/>
        <n v="399.7"/>
        <n v="400.2"/>
        <n v="400.7"/>
        <n v="401.2"/>
        <n v="401.7"/>
        <n v="402.2"/>
        <n v="403.05"/>
        <n v="403.8"/>
        <n v="404.55"/>
        <n v="405.3"/>
        <n v="406.05"/>
        <n v="406.8"/>
        <n v="407.55"/>
        <n v="408.3"/>
        <n v="409.05"/>
        <n v="409.3"/>
        <n v="409.8"/>
        <n v="410.3"/>
        <n v="410.8"/>
        <n v="411.3"/>
        <n v="411.8"/>
        <n v="412.3"/>
        <n v="412.8"/>
        <n v="413.3"/>
        <n v="419.7"/>
        <n v="420.4"/>
        <n v="420.45"/>
        <n v="420.9"/>
        <n v="421.2"/>
        <n v="421.4"/>
        <n v="421.9"/>
        <n v="421.95"/>
        <n v="422.4"/>
        <n v="422.7"/>
        <n v="422.9"/>
        <n v="423.4"/>
        <n v="423.45"/>
        <n v="423.9"/>
        <n v="424.2"/>
        <n v="424.4"/>
        <n v="424.95"/>
        <n v="425.7"/>
        <n v="431.5"/>
        <n v="432"/>
        <n v="432.5"/>
        <n v="433"/>
        <n v="433.5"/>
        <n v="434"/>
        <n v="434.5"/>
        <n v="435"/>
        <n v="435.5"/>
        <n v="436.35"/>
        <n v="437.1"/>
        <n v="437.85"/>
        <n v="438.6"/>
        <n v="439.35"/>
        <n v="440.1"/>
        <n v="440.85"/>
        <n v="441.6"/>
        <n v="442.35"/>
        <n v="442.6"/>
        <n v="443.1"/>
        <n v="443.6"/>
        <n v="444.1"/>
        <n v="444.6"/>
        <n v="445.1"/>
        <n v="445.6"/>
        <n v="446.1"/>
        <n v="446.6"/>
        <n v="453"/>
        <n v="453.75"/>
        <n v="454.2"/>
        <n v="454.5"/>
        <n v="454.7"/>
        <n v="455.2"/>
        <n v="455.25"/>
        <n v="455.7"/>
        <n v="456"/>
        <n v="456.2"/>
        <n v="456.7"/>
        <n v="456.75"/>
        <n v="457.2"/>
        <n v="457.5"/>
        <n v="457.7"/>
        <n v="458.25"/>
        <n v="459"/>
        <n v="465.3"/>
        <n v="465.8"/>
        <n v="466.3"/>
        <n v="466.8"/>
        <n v="467.3"/>
        <n v="467.8"/>
        <n v="468.3"/>
        <n v="468.8"/>
        <n v="469.65"/>
        <n v="470.4"/>
        <n v="471.15"/>
        <n v="471.9"/>
        <n v="472.65"/>
        <n v="473.4"/>
        <n v="474.15"/>
        <n v="474.9"/>
        <n v="475.65"/>
        <n v="476.4"/>
        <n v="476.9"/>
        <n v="477.4"/>
        <n v="477.9"/>
        <n v="478.4"/>
        <n v="478.9"/>
        <n v="479.4"/>
        <n v="479.9"/>
        <n v="486.3"/>
        <n v="487.05"/>
        <n v="487.5"/>
        <n v="487.8"/>
        <n v="488"/>
        <n v="488.5"/>
        <n v="488.55"/>
        <n v="489"/>
        <n v="489.3"/>
        <n v="489.5"/>
        <n v="490"/>
        <n v="490.05"/>
        <n v="490.5"/>
        <n v="490.8"/>
        <n v="491"/>
        <n v="491.55"/>
        <n v="492.3"/>
        <n v="498.6"/>
        <n v="499.1"/>
        <n v="499.6"/>
        <n v="500.1"/>
        <n v="500.6"/>
        <n v="501.1"/>
        <n v="501.6"/>
        <n v="502.1"/>
        <n v="502.95"/>
        <n v="503.7"/>
        <n v="504.45"/>
        <n v="505.2"/>
        <n v="505.95"/>
        <n v="506.7"/>
        <n v="507.45"/>
        <n v="508.2"/>
        <n v="508.95"/>
        <n v="509.7"/>
        <n v="519.6"/>
        <n v="520.35"/>
        <n v="521.1"/>
        <n v="521.85"/>
        <n v="522.6"/>
        <n v="523.35"/>
        <n v="524.1"/>
        <n v="524.85"/>
        <n v="525.6"/>
        <n v="536.25"/>
        <n v="537"/>
        <n v="537.75"/>
        <n v="538.5"/>
        <n v="539.25"/>
        <n v="540"/>
        <n v="540.75"/>
        <n v="541.5"/>
        <n v="542.25"/>
        <n v="552.9"/>
        <n v="553.65"/>
        <n v="554.4"/>
        <n v="555.15"/>
        <n v="555.9"/>
        <n v="556.65"/>
        <n v="557.4"/>
        <n v="558.15"/>
        <n v="558.9"/>
        <n v="569.55"/>
        <n v="570.3"/>
        <n v="571.05"/>
        <n v="571.8"/>
        <n v="572.55"/>
        <n v="573.3"/>
        <n v="574.05"/>
        <n v="574.8"/>
        <n v="575.55"/>
        <n v="586.2"/>
        <n v="586.95"/>
        <n v="587.7"/>
        <n v="588.45"/>
        <n v="589.2"/>
        <n v="589.95"/>
        <n v="590.7"/>
        <n v="591.45"/>
        <n v="592.2"/>
        <n v="602.85"/>
        <n v="603.6"/>
        <n v="604.35"/>
        <n v="605.1"/>
        <n v="605.85"/>
        <n v="606.6"/>
        <n v="607.35"/>
        <n v="608.1"/>
        <n v="608.85"/>
        <n v="619.5"/>
        <n v="620.25"/>
        <n v="621"/>
        <n v="621.75"/>
        <n v="622.5"/>
        <n v="623.25"/>
        <n v="624"/>
        <n v="624.75"/>
        <n v="625.5"/>
        <n v="636.15"/>
        <n v="636.9"/>
        <n v="637.65"/>
        <n v="638.4"/>
        <n v="639.15"/>
        <n v="639.9"/>
        <n v="640.65"/>
        <n v="641.4"/>
        <n v="642.15"/>
        <n v="652.8"/>
        <n v="653.55"/>
        <n v="654.3"/>
        <n v="655.05"/>
        <n v="655.8"/>
        <n v="656.55"/>
        <n v="657.3"/>
        <n v="658.05"/>
        <n v="658.8"/>
        <n v="669.45"/>
        <n v="670.2"/>
        <n v="670.95"/>
        <n v="671.7"/>
        <n v="672.45"/>
        <n v="673.2"/>
        <n v="673.95"/>
        <n v="674.7"/>
        <n v="675.45"/>
        <n v="686.85"/>
        <n v="687.6"/>
        <n v="688.35"/>
        <n v="689.1"/>
        <n v="689.85"/>
        <n v="690.6"/>
        <n v="691.35"/>
        <n v="692.1"/>
        <n v="703.5"/>
        <n v="704.25"/>
        <n v="705"/>
        <n v="705.75"/>
        <n v="706.5"/>
        <n v="707.25"/>
        <n v="708"/>
        <n v="708.75"/>
        <n v="720.15"/>
        <n v="720.9"/>
        <n v="721.65"/>
        <n v="722.4"/>
        <n v="723.15"/>
        <n v="723.9"/>
        <n v="724.65"/>
        <n v="725.4"/>
        <n v="736.8"/>
        <n v="737.55"/>
        <n v="738.3"/>
        <n v="739.05"/>
        <n v="739.8"/>
        <n v="740.55"/>
        <n v="741.3"/>
        <n v="742.05"/>
        <n v="753.45"/>
        <n v="754.2"/>
        <n v="754.95"/>
        <n v="755.7"/>
        <n v="756.45"/>
        <n v="757.2"/>
        <n v="757.95"/>
        <n v="758.7"/>
      </sharedItems>
    </cacheField>
    <cacheField name="Total" numFmtId="0">
      <sharedItems containsSemiMixedTypes="0" containsString="0" containsNumber="1" minValue="112.2" maxValue="5816.7" count="1198">
        <n v="112.2"/>
        <n v="117.7"/>
        <n v="123.2"/>
        <n v="128.7"/>
        <n v="134.2"/>
        <n v="139.7"/>
        <n v="145.2"/>
        <n v="150.7"/>
        <n v="154.1"/>
        <n v="159.85"/>
        <n v="165.6"/>
        <n v="171.35"/>
        <n v="177.1"/>
        <n v="179.55"/>
        <n v="182.85"/>
        <n v="184.8"/>
        <n v="188.6"/>
        <n v="190.05"/>
        <n v="194.35"/>
        <n v="195.3"/>
        <n v="200.1"/>
        <n v="200.55"/>
        <n v="205.8"/>
        <n v="211.05"/>
        <n v="216.3"/>
        <n v="221.55"/>
        <n v="228.8"/>
        <n v="234.3"/>
        <n v="239.8"/>
        <n v="245.3"/>
        <n v="250.8"/>
        <n v="256.3"/>
        <n v="261.8"/>
        <n v="267.3"/>
        <n v="272.8"/>
        <n v="281.75"/>
        <n v="287.5"/>
        <n v="293.25"/>
        <n v="296.1"/>
        <n v="299"/>
        <n v="301.35"/>
        <n v="304.75"/>
        <n v="306.6"/>
        <n v="310.5"/>
        <n v="311.85"/>
        <n v="316.25"/>
        <n v="317.1"/>
        <n v="322"/>
        <n v="322.35"/>
        <n v="327.6"/>
        <n v="327.75"/>
        <n v="332.85"/>
        <n v="338.1"/>
        <n v="350.9"/>
        <n v="356.4"/>
        <n v="361.9"/>
        <n v="367.4"/>
        <n v="372.9"/>
        <n v="378.4"/>
        <n v="383.9"/>
        <n v="389.4"/>
        <n v="394.9"/>
        <n v="409.4"/>
        <n v="412.65"/>
        <n v="415.15"/>
        <n v="417.9"/>
        <n v="420.9"/>
        <n v="423.15"/>
        <n v="426.65"/>
        <n v="428.4"/>
        <n v="432.4"/>
        <n v="433.65"/>
        <n v="438.15"/>
        <n v="438.9"/>
        <n v="443.9"/>
        <n v="444.15"/>
        <n v="449.4"/>
        <n v="449.65"/>
        <n v="454.65"/>
        <n v="455.4"/>
        <n v="473"/>
        <n v="478.5"/>
        <n v="484"/>
        <n v="489.5"/>
        <n v="495"/>
        <n v="500.5"/>
        <n v="506"/>
        <n v="511.5"/>
        <n v="517"/>
        <n v="529.2"/>
        <n v="534.45"/>
        <n v="537.05"/>
        <n v="539.7"/>
        <n v="542.8"/>
        <n v="544.95"/>
        <n v="548.55"/>
        <n v="550.2"/>
        <n v="554.3"/>
        <n v="555.45"/>
        <n v="560.05"/>
        <n v="560.7"/>
        <n v="565.8"/>
        <n v="565.95"/>
        <n v="571.2"/>
        <n v="571.55"/>
        <n v="577.3"/>
        <n v="583.05"/>
        <n v="595.1"/>
        <n v="600.6"/>
        <n v="606.1"/>
        <n v="611.6"/>
        <n v="617.1"/>
        <n v="622.6"/>
        <n v="628.1"/>
        <n v="633.6"/>
        <n v="639.1"/>
        <n v="645.75"/>
        <n v="651"/>
        <n v="656.25"/>
        <n v="661.5"/>
        <n v="664.7"/>
        <n v="666.75"/>
        <n v="670.45"/>
        <n v="672"/>
        <n v="676.2"/>
        <n v="677.25"/>
        <n v="681.95"/>
        <n v="682.5"/>
        <n v="687.7"/>
        <n v="687.75"/>
        <n v="693.45"/>
        <n v="699.2"/>
        <n v="704.95"/>
        <n v="710.7"/>
        <n v="717.2"/>
        <n v="722.7"/>
        <n v="728.2"/>
        <n v="733.7"/>
        <n v="739.2"/>
        <n v="744.7"/>
        <n v="750.2"/>
        <n v="755.7"/>
        <n v="761.2"/>
        <n v="762.3"/>
        <n v="767.55"/>
        <n v="772.8"/>
        <n v="778.05"/>
        <n v="783.3"/>
        <n v="788.55"/>
        <n v="792.35"/>
        <n v="793.8"/>
        <n v="798.1"/>
        <n v="799.05"/>
        <n v="803.85"/>
        <n v="804.3"/>
        <n v="809.6"/>
        <n v="815.35"/>
        <n v="821.1"/>
        <n v="826.85"/>
        <n v="832.6"/>
        <n v="838.35"/>
        <n v="839.3"/>
        <n v="844.8"/>
        <n v="850.3"/>
        <n v="855.8"/>
        <n v="861.3"/>
        <n v="866.8"/>
        <n v="872.3"/>
        <n v="877.8"/>
        <n v="878.85"/>
        <n v="883.3"/>
        <n v="884.1"/>
        <n v="889.35"/>
        <n v="894.6"/>
        <n v="899.85"/>
        <n v="905.1"/>
        <n v="910.35"/>
        <n v="915.6"/>
        <n v="920"/>
        <n v="920.85"/>
        <n v="925.75"/>
        <n v="931.5"/>
        <n v="937.25"/>
        <n v="943"/>
        <n v="948.75"/>
        <n v="954.5"/>
        <n v="960.25"/>
        <n v="961.4"/>
        <n v="966"/>
        <n v="966.9"/>
        <n v="972.4"/>
        <n v="977.9"/>
        <n v="983.4"/>
        <n v="988.9"/>
        <n v="994.4"/>
        <n v="995.4"/>
        <n v="999.9"/>
        <n v="1000.65"/>
        <n v="1005.4"/>
        <n v="1005.9"/>
        <n v="1011.15"/>
        <n v="1016.4"/>
        <n v="1021.65"/>
        <n v="1026.9"/>
        <n v="1032.15"/>
        <n v="1037.4"/>
        <n v="1047.65"/>
        <n v="1053.4"/>
        <n v="1059.15"/>
        <n v="1064.9"/>
        <n v="1070.65"/>
        <n v="1076.4"/>
        <n v="1082.15"/>
        <n v="1083.5"/>
        <n v="1087.9"/>
        <n v="1089"/>
        <n v="1093.65"/>
        <n v="1094.5"/>
        <n v="1100"/>
        <n v="1105.5"/>
        <n v="1111"/>
        <n v="1111.95"/>
        <n v="1116.5"/>
        <n v="1117.2"/>
        <n v="1122"/>
        <n v="1122.45"/>
        <n v="1127.5"/>
        <n v="1127.7"/>
        <n v="1132.95"/>
        <n v="1138.2"/>
        <n v="1143.45"/>
        <n v="1148.7"/>
        <n v="1153.95"/>
        <n v="1175.3"/>
        <n v="1181.05"/>
        <n v="1186.8"/>
        <n v="1192.55"/>
        <n v="1198.3"/>
        <n v="1204.05"/>
        <n v="1205.6"/>
        <n v="1209.8"/>
        <n v="1211.1"/>
        <n v="1215.55"/>
        <n v="1216.6"/>
        <n v="1221.3"/>
        <n v="1222.1"/>
        <n v="1227.6"/>
        <n v="1228.5"/>
        <n v="1233.1"/>
        <n v="1233.75"/>
        <n v="1238.6"/>
        <n v="1239"/>
        <n v="1244.1"/>
        <n v="1244.25"/>
        <n v="1249.5"/>
        <n v="1249.6"/>
        <n v="1254.75"/>
        <n v="1260"/>
        <n v="1265.25"/>
        <n v="1270.5"/>
        <n v="1302.95"/>
        <n v="1308.7"/>
        <n v="1314.45"/>
        <n v="1320.2"/>
        <n v="1325.95"/>
        <n v="1327.7"/>
        <n v="1331.7"/>
        <n v="1333.2"/>
        <n v="1337.45"/>
        <n v="1338.7"/>
        <n v="1343.2"/>
        <n v="1344.2"/>
        <n v="1345.05"/>
        <n v="1348.95"/>
        <n v="1349.7"/>
        <n v="1350.3"/>
        <n v="1355.2"/>
        <n v="1355.55"/>
        <n v="1360.7"/>
        <n v="1360.8"/>
        <n v="1366.05"/>
        <n v="1366.2"/>
        <n v="1371.3"/>
        <n v="1371.7"/>
        <n v="1376.55"/>
        <n v="1381.8"/>
        <n v="1387.05"/>
        <n v="1430.6"/>
        <n v="1436.35"/>
        <n v="1442.1"/>
        <n v="1447.85"/>
        <n v="1449.8"/>
        <n v="1453.6"/>
        <n v="1455.3"/>
        <n v="1459.35"/>
        <n v="1460.8"/>
        <n v="1461.6"/>
        <n v="1465.1"/>
        <n v="1466.3"/>
        <n v="1466.85"/>
        <n v="1470.85"/>
        <n v="1471.8"/>
        <n v="1472.1"/>
        <n v="1476.6"/>
        <n v="1477.3"/>
        <n v="1477.35"/>
        <n v="1482.6"/>
        <n v="1482.8"/>
        <n v="1487.85"/>
        <n v="1488.3"/>
        <n v="1493.1"/>
        <n v="1493.8"/>
        <n v="1498.35"/>
        <n v="1503.6"/>
        <n v="1558.25"/>
        <n v="1564"/>
        <n v="1569.75"/>
        <n v="1571.9"/>
        <n v="1575.5"/>
        <n v="1577.4"/>
        <n v="1578.15"/>
        <n v="1581.25"/>
        <n v="1582.9"/>
        <n v="1583.4"/>
        <n v="1587"/>
        <n v="1588.4"/>
        <n v="1588.65"/>
        <n v="1592.75"/>
        <n v="1593.9"/>
        <n v="1598.5"/>
        <n v="1599.15"/>
        <n v="1599.4"/>
        <n v="1604.25"/>
        <n v="1604.4"/>
        <n v="1604.9"/>
        <n v="1609.65"/>
        <n v="1610.4"/>
        <n v="1614.9"/>
        <n v="1615.9"/>
        <n v="1620.15"/>
        <n v="1685.9"/>
        <n v="1691.65"/>
        <n v="1694"/>
        <n v="1694.7"/>
        <n v="1697.4"/>
        <n v="1699.5"/>
        <n v="1699.95"/>
        <n v="1703.15"/>
        <n v="1705"/>
        <n v="1705.2"/>
        <n v="1708.9"/>
        <n v="1710.45"/>
        <n v="1710.5"/>
        <n v="1714.65"/>
        <n v="1715.7"/>
        <n v="1716"/>
        <n v="1720.4"/>
        <n v="1720.95"/>
        <n v="1721.5"/>
        <n v="1726.15"/>
        <n v="1726.2"/>
        <n v="1727"/>
        <n v="1731.45"/>
        <n v="1731.9"/>
        <n v="1732.5"/>
        <n v="1736.7"/>
        <n v="1738"/>
        <n v="1811.25"/>
        <n v="1813.55"/>
        <n v="1816.1"/>
        <n v="1816.5"/>
        <n v="1819.3"/>
        <n v="1821.6"/>
        <n v="1821.75"/>
        <n v="1825.05"/>
        <n v="1827"/>
        <n v="1827.1"/>
        <n v="1830.8"/>
        <n v="1832.25"/>
        <n v="1832.6"/>
        <n v="1836.55"/>
        <n v="1837.5"/>
        <n v="1838.1"/>
        <n v="1842.3"/>
        <n v="1842.75"/>
        <n v="1843.6"/>
        <n v="1848"/>
        <n v="1848.05"/>
        <n v="1849.1"/>
        <n v="1853.25"/>
        <n v="1853.8"/>
        <n v="1854.6"/>
        <n v="1859.55"/>
        <n v="1860.1"/>
        <n v="1927.8"/>
        <n v="1933.05"/>
        <n v="1938.2"/>
        <n v="1938.3"/>
        <n v="1941.2"/>
        <n v="1943.55"/>
        <n v="1943.7"/>
        <n v="1946.95"/>
        <n v="1948.8"/>
        <n v="1949.2"/>
        <n v="1952.7"/>
        <n v="1954.05"/>
        <n v="1954.7"/>
        <n v="1958.45"/>
        <n v="1959.3"/>
        <n v="1960.2"/>
        <n v="1964.2"/>
        <n v="1964.55"/>
        <n v="1965.7"/>
        <n v="1969.8"/>
        <n v="1969.95"/>
        <n v="1971.2"/>
        <n v="1975.7"/>
        <n v="1976.7"/>
        <n v="1981.45"/>
        <n v="1982.2"/>
        <n v="1987.2"/>
        <n v="2044.35"/>
        <n v="2049.6"/>
        <n v="2054.85"/>
        <n v="2060.1"/>
        <n v="2060.3"/>
        <n v="2065.35"/>
        <n v="2065.8"/>
        <n v="2068.85"/>
        <n v="2070.6"/>
        <n v="2071.3"/>
        <n v="2074.6"/>
        <n v="2075.85"/>
        <n v="2076.8"/>
        <n v="2080.35"/>
        <n v="2081.1"/>
        <n v="2082.3"/>
        <n v="2086.1"/>
        <n v="2086.35"/>
        <n v="2087.8"/>
        <n v="2091.85"/>
        <n v="2093.3"/>
        <n v="2097.6"/>
        <n v="2098.8"/>
        <n v="2103.35"/>
        <n v="2104.3"/>
        <n v="2109.1"/>
        <n v="2114.85"/>
        <n v="2160.9"/>
        <n v="2166.15"/>
        <n v="2171.4"/>
        <n v="2176.65"/>
        <n v="2181.9"/>
        <n v="2182.4"/>
        <n v="2187.15"/>
        <n v="2187.9"/>
        <n v="2192.4"/>
        <n v="2193.4"/>
        <n v="2196.5"/>
        <n v="2197.65"/>
        <n v="2198.9"/>
        <n v="2202.25"/>
        <n v="2202.9"/>
        <n v="2204.4"/>
        <n v="2208"/>
        <n v="2209.9"/>
        <n v="2213.75"/>
        <n v="2215.4"/>
        <n v="2219.5"/>
        <n v="2220.9"/>
        <n v="2225.25"/>
        <n v="2226.4"/>
        <n v="2231"/>
        <n v="2236.75"/>
        <n v="2242.5"/>
        <n v="2277.45"/>
        <n v="2282.7"/>
        <n v="2287.95"/>
        <n v="2293.2"/>
        <n v="2298.45"/>
        <n v="2303.7"/>
        <n v="2304.5"/>
        <n v="2308.95"/>
        <n v="2310"/>
        <n v="2314.2"/>
        <n v="2315.5"/>
        <n v="2319.45"/>
        <n v="2321"/>
        <n v="2324.15"/>
        <n v="2326.5"/>
        <n v="2329.9"/>
        <n v="2332"/>
        <n v="2335.65"/>
        <n v="2337.5"/>
        <n v="2341.4"/>
        <n v="2343"/>
        <n v="2347.15"/>
        <n v="2348.5"/>
        <n v="2352.9"/>
        <n v="2358.65"/>
        <n v="2364.4"/>
        <n v="2370.15"/>
        <n v="2394"/>
        <n v="2399.25"/>
        <n v="2404.5"/>
        <n v="2409.75"/>
        <n v="2415"/>
        <n v="2420.25"/>
        <n v="2425.5"/>
        <n v="2426.6"/>
        <n v="2430.75"/>
        <n v="2432.1"/>
        <n v="2436"/>
        <n v="2437.6"/>
        <n v="2443.1"/>
        <n v="2448.6"/>
        <n v="2451.8"/>
        <n v="2454.1"/>
        <n v="2457.55"/>
        <n v="2459.6"/>
        <n v="2463.3"/>
        <n v="2465.1"/>
        <n v="2469.05"/>
        <n v="2470.6"/>
        <n v="2474.8"/>
        <n v="2480.55"/>
        <n v="2486.3"/>
        <n v="2492.05"/>
        <n v="2497.8"/>
        <n v="2510.55"/>
        <n v="2515.8"/>
        <n v="2521.05"/>
        <n v="2526.3"/>
        <n v="2531.55"/>
        <n v="2536.8"/>
        <n v="2542.05"/>
        <n v="2547.3"/>
        <n v="2548.7"/>
        <n v="2552.55"/>
        <n v="2554.2"/>
        <n v="2559.7"/>
        <n v="2565.2"/>
        <n v="2570.7"/>
        <n v="2576.2"/>
        <n v="2579.45"/>
        <n v="2581.7"/>
        <n v="2585.2"/>
        <n v="2587.2"/>
        <n v="2590.95"/>
        <n v="2592.7"/>
        <n v="2596.7"/>
        <n v="2602.45"/>
        <n v="2608.2"/>
        <n v="2613.95"/>
        <n v="2619.7"/>
        <n v="2625.45"/>
        <n v="2627.1"/>
        <n v="2632.35"/>
        <n v="2637.6"/>
        <n v="2642.85"/>
        <n v="2648.1"/>
        <n v="2653.35"/>
        <n v="2658.6"/>
        <n v="2663.85"/>
        <n v="2669.1"/>
        <n v="2670.8"/>
        <n v="2676.3"/>
        <n v="2681.8"/>
        <n v="2687.3"/>
        <n v="2692.8"/>
        <n v="2698.3"/>
        <n v="2703.8"/>
        <n v="2707.1"/>
        <n v="2709.3"/>
        <n v="2712.85"/>
        <n v="2714.8"/>
        <n v="2718.6"/>
        <n v="2724.35"/>
        <n v="2730.1"/>
        <n v="2735.85"/>
        <n v="2741.6"/>
        <n v="2743.65"/>
        <n v="2747.35"/>
        <n v="2748.9"/>
        <n v="2753.1"/>
        <n v="2754.15"/>
        <n v="2759.4"/>
        <n v="2764.65"/>
        <n v="2769.9"/>
        <n v="2775.15"/>
        <n v="2780.4"/>
        <n v="2785.65"/>
        <n v="2792.9"/>
        <n v="2798.4"/>
        <n v="2803.9"/>
        <n v="2809.4"/>
        <n v="2814.9"/>
        <n v="2820.4"/>
        <n v="2825.9"/>
        <n v="2831.4"/>
        <n v="2834.75"/>
        <n v="2836.9"/>
        <n v="2840.5"/>
        <n v="2846.25"/>
        <n v="2852"/>
        <n v="2857.75"/>
        <n v="2860.2"/>
        <n v="2863.5"/>
        <n v="2865.45"/>
        <n v="2869.25"/>
        <n v="2870.7"/>
        <n v="2875"/>
        <n v="2875.95"/>
        <n v="2880.75"/>
        <n v="2881.2"/>
        <n v="2886.45"/>
        <n v="2891.7"/>
        <n v="2896.95"/>
        <n v="2902.2"/>
        <n v="2915"/>
        <n v="2920.5"/>
        <n v="2926"/>
        <n v="2931.5"/>
        <n v="2937"/>
        <n v="2942.5"/>
        <n v="2948"/>
        <n v="2953.5"/>
        <n v="2959"/>
        <n v="2962.4"/>
        <n v="2968.15"/>
        <n v="2973.9"/>
        <n v="2976.75"/>
        <n v="2979.65"/>
        <n v="2982"/>
        <n v="2985.4"/>
        <n v="2987.25"/>
        <n v="2991.15"/>
        <n v="2992.5"/>
        <n v="2996.9"/>
        <n v="2997.75"/>
        <n v="3002.65"/>
        <n v="3003"/>
        <n v="3008.25"/>
        <n v="3008.4"/>
        <n v="3013.5"/>
        <n v="3018.75"/>
        <n v="3037.1"/>
        <n v="3042.6"/>
        <n v="3048.1"/>
        <n v="3053.6"/>
        <n v="3059.1"/>
        <n v="3064.6"/>
        <n v="3070.1"/>
        <n v="3075.6"/>
        <n v="3081.1"/>
        <n v="3090.05"/>
        <n v="3093.3"/>
        <n v="3095.8"/>
        <n v="3098.55"/>
        <n v="3101.55"/>
        <n v="3103.8"/>
        <n v="3107.3"/>
        <n v="3109.05"/>
        <n v="3113.05"/>
        <n v="3114.3"/>
        <n v="3118.8"/>
        <n v="3119.55"/>
        <n v="3124.55"/>
        <n v="3124.8"/>
        <n v="3130.05"/>
        <n v="3130.3"/>
        <n v="3135.3"/>
        <n v="3136.05"/>
        <n v="3159.2"/>
        <n v="3164.7"/>
        <n v="3170.2"/>
        <n v="3175.7"/>
        <n v="3181.2"/>
        <n v="3186.7"/>
        <n v="3192.2"/>
        <n v="3197.7"/>
        <n v="3203.2"/>
        <n v="3209.85"/>
        <n v="3215.1"/>
        <n v="3217.7"/>
        <n v="3220.35"/>
        <n v="3223.45"/>
        <n v="3225.6"/>
        <n v="3229.2"/>
        <n v="3230.85"/>
        <n v="3234.95"/>
        <n v="3236.1"/>
        <n v="3240.7"/>
        <n v="3241.35"/>
        <n v="3246.45"/>
        <n v="3246.6"/>
        <n v="3251.85"/>
        <n v="3252.2"/>
        <n v="3257.95"/>
        <n v="3263.7"/>
        <n v="3281.3"/>
        <n v="3286.8"/>
        <n v="3292.3"/>
        <n v="3297.8"/>
        <n v="3303.3"/>
        <n v="3308.8"/>
        <n v="3314.3"/>
        <n v="3319.8"/>
        <n v="3325.3"/>
        <n v="3326.4"/>
        <n v="3331.65"/>
        <n v="3336.9"/>
        <n v="3342.15"/>
        <n v="3345.35"/>
        <n v="3347.4"/>
        <n v="3351.1"/>
        <n v="3352.65"/>
        <n v="3356.85"/>
        <n v="3357.9"/>
        <n v="3362.6"/>
        <n v="3363.15"/>
        <n v="3368.35"/>
        <n v="3368.4"/>
        <n v="3374.1"/>
        <n v="3379.85"/>
        <n v="3385.6"/>
        <n v="3391.35"/>
        <n v="3403.4"/>
        <n v="3408.9"/>
        <n v="3414.4"/>
        <n v="3419.9"/>
        <n v="3425.4"/>
        <n v="3430.9"/>
        <n v="3436.4"/>
        <n v="3441.9"/>
        <n v="3442.95"/>
        <n v="3447.4"/>
        <n v="3448.2"/>
        <n v="3453.45"/>
        <n v="3458.7"/>
        <n v="3463.95"/>
        <n v="3469.2"/>
        <n v="3473"/>
        <n v="3474.45"/>
        <n v="3478.75"/>
        <n v="3479.7"/>
        <n v="3484.5"/>
        <n v="3484.95"/>
        <n v="3490.25"/>
        <n v="3496"/>
        <n v="3501.75"/>
        <n v="3507.5"/>
        <n v="3513.25"/>
        <n v="3519"/>
        <n v="3525.5"/>
        <n v="3531"/>
        <n v="3536.5"/>
        <n v="3542"/>
        <n v="3547.5"/>
        <n v="3553"/>
        <n v="3558.5"/>
        <n v="3559.5"/>
        <n v="3564"/>
        <n v="3564.75"/>
        <n v="3569.5"/>
        <n v="3570"/>
        <n v="3575.25"/>
        <n v="3580.5"/>
        <n v="3585.75"/>
        <n v="3591"/>
        <n v="3596.25"/>
        <n v="3600.65"/>
        <n v="3601.5"/>
        <n v="3606.4"/>
        <n v="3612.15"/>
        <n v="3617.9"/>
        <n v="3623.65"/>
        <n v="3629.4"/>
        <n v="3635.15"/>
        <n v="3640.9"/>
        <n v="3646.65"/>
        <n v="3647.6"/>
        <n v="3653.1"/>
        <n v="3658.6"/>
        <n v="3664.1"/>
        <n v="3669.6"/>
        <n v="3675.1"/>
        <n v="3676.05"/>
        <n v="3680.6"/>
        <n v="3681.3"/>
        <n v="3686.1"/>
        <n v="3686.55"/>
        <n v="3691.6"/>
        <n v="3691.8"/>
        <n v="3697.05"/>
        <n v="3702.3"/>
        <n v="3707.55"/>
        <n v="3712.8"/>
        <n v="3718.05"/>
        <n v="3728.3"/>
        <n v="3734.05"/>
        <n v="3739.8"/>
        <n v="3745.55"/>
        <n v="3751.3"/>
        <n v="3757.05"/>
        <n v="3762.8"/>
        <n v="3768.55"/>
        <n v="3769.7"/>
        <n v="3774.3"/>
        <n v="3775.2"/>
        <n v="3780.7"/>
        <n v="3786.2"/>
        <n v="3791.7"/>
        <n v="3792.6"/>
        <n v="3797.2"/>
        <n v="3797.85"/>
        <n v="3802.7"/>
        <n v="3803.1"/>
        <n v="3808.2"/>
        <n v="3808.35"/>
        <n v="3813.6"/>
        <n v="3813.7"/>
        <n v="3818.85"/>
        <n v="3824.1"/>
        <n v="3829.35"/>
        <n v="3834.6"/>
        <n v="3855.95"/>
        <n v="3861.7"/>
        <n v="3867.45"/>
        <n v="3873.2"/>
        <n v="3878.95"/>
        <n v="3884.7"/>
        <n v="3890.45"/>
        <n v="3891.8"/>
        <n v="3896.2"/>
        <n v="3897.3"/>
        <n v="3901.95"/>
        <n v="3902.8"/>
        <n v="3908.3"/>
        <n v="3909.15"/>
        <n v="3913.8"/>
        <n v="3914.4"/>
        <n v="3919.3"/>
        <n v="3919.65"/>
        <n v="3924.8"/>
        <n v="3924.9"/>
        <n v="3930.15"/>
        <n v="3930.3"/>
        <n v="3935.4"/>
        <n v="3935.8"/>
        <n v="3940.65"/>
        <n v="3945.9"/>
        <n v="3951.15"/>
        <n v="3983.6"/>
        <n v="3989.35"/>
        <n v="3995.1"/>
        <n v="4000.85"/>
        <n v="4006.6"/>
        <n v="4012.35"/>
        <n v="4013.9"/>
        <n v="4018.1"/>
        <n v="4019.4"/>
        <n v="4023.85"/>
        <n v="4024.9"/>
        <n v="4025.7"/>
        <n v="4029.6"/>
        <n v="4030.4"/>
        <n v="4030.95"/>
        <n v="4035.9"/>
        <n v="4036.2"/>
        <n v="4041.4"/>
        <n v="4041.45"/>
        <n v="4046.7"/>
        <n v="4046.9"/>
        <n v="4051.95"/>
        <n v="4052.4"/>
        <n v="4057.2"/>
        <n v="4057.9"/>
        <n v="4062.45"/>
        <n v="4067.7"/>
        <n v="4111.25"/>
        <n v="4117"/>
        <n v="4122.75"/>
        <n v="4128.5"/>
        <n v="4134.25"/>
        <n v="4136"/>
        <n v="4140"/>
        <n v="4141.5"/>
        <n v="4142.25"/>
        <n v="4145.75"/>
        <n v="4147"/>
        <n v="4147.5"/>
        <n v="4151.5"/>
        <n v="4152.5"/>
        <n v="4152.75"/>
        <n v="4157.25"/>
        <n v="4158"/>
        <n v="4163.25"/>
        <n v="4163.5"/>
        <n v="4168.5"/>
        <n v="4169"/>
        <n v="4173.75"/>
        <n v="4174.5"/>
        <n v="4179"/>
        <n v="4180"/>
        <n v="4184.25"/>
        <n v="4238.9"/>
        <n v="4244.65"/>
        <n v="4250.4"/>
        <n v="4256.15"/>
        <n v="4258.1"/>
        <n v="4258.8"/>
        <n v="4261.9"/>
        <n v="4263.6"/>
        <n v="4264.05"/>
        <n v="4267.65"/>
        <n v="4269.1"/>
        <n v="4269.3"/>
        <n v="4273.4"/>
        <n v="4274.55"/>
        <n v="4274.6"/>
        <n v="4279.15"/>
        <n v="4279.8"/>
        <n v="4280.1"/>
        <n v="4284.9"/>
        <n v="4285.05"/>
        <n v="4285.6"/>
        <n v="4290.3"/>
        <n v="4291.1"/>
        <n v="4295.55"/>
        <n v="4296.6"/>
        <n v="4300.8"/>
        <n v="4302.1"/>
        <n v="4366.55"/>
        <n v="4372.3"/>
        <n v="4375.35"/>
        <n v="4378.05"/>
        <n v="4380.2"/>
        <n v="4380.6"/>
        <n v="4383.8"/>
        <n v="4385.7"/>
        <n v="4385.85"/>
        <n v="4389.55"/>
        <n v="4391.1"/>
        <n v="4391.2"/>
        <n v="4395.3"/>
        <n v="4396.35"/>
        <n v="4396.7"/>
        <n v="4401.05"/>
        <n v="4401.6"/>
        <n v="4402.2"/>
        <n v="4406.8"/>
        <n v="4406.85"/>
        <n v="4407.7"/>
        <n v="4412.1"/>
        <n v="4412.55"/>
        <n v="4413.2"/>
        <n v="4417.35"/>
        <n v="4418.7"/>
        <n v="4424.2"/>
        <n v="4491.9"/>
        <n v="4494.2"/>
        <n v="4497.15"/>
        <n v="4499.95"/>
        <n v="4502.3"/>
        <n v="4502.4"/>
        <n v="4505.7"/>
        <n v="4507.65"/>
        <n v="4507.8"/>
        <n v="4511.45"/>
        <n v="4512.9"/>
        <n v="4513.3"/>
        <n v="4517.2"/>
        <n v="4518.15"/>
        <n v="4518.8"/>
        <n v="4522.95"/>
        <n v="4523.4"/>
        <n v="4524.3"/>
        <n v="4528.65"/>
        <n v="4528.7"/>
        <n v="4529.8"/>
        <n v="4533.9"/>
        <n v="4534.45"/>
        <n v="4535.3"/>
        <n v="4540.2"/>
        <n v="4540.8"/>
        <n v="4546.3"/>
        <n v="4608.45"/>
        <n v="4613.7"/>
        <n v="4618.95"/>
        <n v="4621.85"/>
        <n v="4624.2"/>
        <n v="4624.4"/>
        <n v="4627.6"/>
        <n v="4629.45"/>
        <n v="4629.9"/>
        <n v="4633.35"/>
        <n v="4634.7"/>
        <n v="4635.4"/>
        <n v="4639.1"/>
        <n v="4639.95"/>
        <n v="4640.9"/>
        <n v="4644.85"/>
        <n v="4645.2"/>
        <n v="4646.4"/>
        <n v="4650.45"/>
        <n v="4650.6"/>
        <n v="4651.9"/>
        <n v="4656.35"/>
        <n v="4657.4"/>
        <n v="4662.1"/>
        <n v="4662.9"/>
        <n v="4667.85"/>
        <n v="4668.4"/>
        <n v="4725"/>
        <n v="4730.25"/>
        <n v="4735.5"/>
        <n v="4740.75"/>
        <n v="4746"/>
        <n v="4746.5"/>
        <n v="4749.5"/>
        <n v="4751.25"/>
        <n v="4752"/>
        <n v="4755.25"/>
        <n v="4756.5"/>
        <n v="4757.5"/>
        <n v="4761"/>
        <n v="4761.75"/>
        <n v="4763"/>
        <n v="4766.75"/>
        <n v="4767"/>
        <n v="4768.5"/>
        <n v="4772.5"/>
        <n v="4774"/>
        <n v="4778.25"/>
        <n v="4779.5"/>
        <n v="4784"/>
        <n v="4785"/>
        <n v="4789.75"/>
        <n v="4790.5"/>
        <n v="4795.5"/>
        <n v="4846.8"/>
        <n v="4852.05"/>
        <n v="4857.3"/>
        <n v="4862.55"/>
        <n v="4867.8"/>
        <n v="4868.6"/>
        <n v="4873.05"/>
        <n v="4874.1"/>
        <n v="4877.15"/>
        <n v="4878.3"/>
        <n v="4879.6"/>
        <n v="4882.9"/>
        <n v="4883.55"/>
        <n v="4885.1"/>
        <n v="4888.65"/>
        <n v="4890.6"/>
        <n v="4894.4"/>
        <n v="4896.1"/>
        <n v="4900.15"/>
        <n v="4901.6"/>
        <n v="4905.9"/>
        <n v="4907.1"/>
        <n v="4911.65"/>
        <n v="4912.6"/>
        <n v="4917.4"/>
        <n v="4923.15"/>
        <n v="4963.35"/>
        <n v="4968.6"/>
        <n v="4973.85"/>
        <n v="4979.1"/>
        <n v="4984.35"/>
        <n v="4989.6"/>
        <n v="4994.85"/>
        <n v="4996.2"/>
        <n v="5000.1"/>
        <n v="5001.7"/>
        <n v="5004.8"/>
        <n v="5007.2"/>
        <n v="5010.55"/>
        <n v="5012.7"/>
        <n v="5016.3"/>
        <n v="5018.2"/>
        <n v="5022.05"/>
        <n v="5023.7"/>
        <n v="5027.8"/>
        <n v="5029.2"/>
        <n v="5033.55"/>
        <n v="5034.7"/>
        <n v="5039.3"/>
        <n v="5045.05"/>
        <n v="5050.8"/>
        <n v="5079.9"/>
        <n v="5085.15"/>
        <n v="5090.4"/>
        <n v="5095.65"/>
        <n v="5100.9"/>
        <n v="5106.15"/>
        <n v="5111.4"/>
        <n v="5116.65"/>
        <n v="5118.3"/>
        <n v="5123.8"/>
        <n v="5129.3"/>
        <n v="5132.45"/>
        <n v="5134.8"/>
        <n v="5138.2"/>
        <n v="5140.3"/>
        <n v="5143.95"/>
        <n v="5145.8"/>
        <n v="5149.7"/>
        <n v="5151.3"/>
        <n v="5155.45"/>
        <n v="5156.8"/>
        <n v="5161.2"/>
        <n v="5166.95"/>
        <n v="5172.7"/>
        <n v="5178.45"/>
        <n v="5196.45"/>
        <n v="5201.7"/>
        <n v="5206.95"/>
        <n v="5212.2"/>
        <n v="5217.45"/>
        <n v="5222.7"/>
        <n v="5227.95"/>
        <n v="5233.2"/>
        <n v="5240.4"/>
        <n v="5245.9"/>
        <n v="5251.4"/>
        <n v="5256.9"/>
        <n v="5262.4"/>
        <n v="5265.85"/>
        <n v="5267.9"/>
        <n v="5271.6"/>
        <n v="5273.4"/>
        <n v="5277.35"/>
        <n v="5278.9"/>
        <n v="5283.1"/>
        <n v="5288.85"/>
        <n v="5294.6"/>
        <n v="5300.35"/>
        <n v="5306.1"/>
        <n v="5313"/>
        <n v="5318.25"/>
        <n v="5323.5"/>
        <n v="5328.75"/>
        <n v="5334"/>
        <n v="5339.25"/>
        <n v="5344.5"/>
        <n v="5349.75"/>
        <n v="5362.5"/>
        <n v="5368"/>
        <n v="5373.5"/>
        <n v="5379"/>
        <n v="5384.5"/>
        <n v="5390"/>
        <n v="5393.5"/>
        <n v="5395.5"/>
        <n v="5399.25"/>
        <n v="5401"/>
        <n v="5405"/>
        <n v="5410.75"/>
        <n v="5416.5"/>
        <n v="5422.25"/>
        <n v="5428"/>
        <n v="5433.75"/>
        <n v="5484.6"/>
        <n v="5490.1"/>
        <n v="5495.6"/>
        <n v="5501.1"/>
        <n v="5506.6"/>
        <n v="5512.1"/>
        <n v="5517.6"/>
        <n v="5521.15"/>
        <n v="5523.1"/>
        <n v="5526.9"/>
        <n v="5532.65"/>
        <n v="5538.4"/>
        <n v="5544.15"/>
        <n v="5549.9"/>
        <n v="5555.65"/>
        <n v="5561.4"/>
        <n v="5606.7"/>
        <n v="5648.8"/>
        <n v="5654.55"/>
        <n v="5660.3"/>
        <n v="5666.05"/>
        <n v="5671.8"/>
        <n v="5677.55"/>
        <n v="5683.3"/>
        <n v="5689.05"/>
        <n v="5776.45"/>
        <n v="5782.2"/>
        <n v="5787.95"/>
        <n v="5793.7"/>
        <n v="5799.45"/>
        <n v="5805.2"/>
        <n v="5810.95"/>
        <n v="5816.7"/>
      </sharedItems>
    </cacheField>
    <cacheField name="Approved" numFmtId="0">
      <sharedItems count="2">
        <s v="No"/>
        <s v="Yes"/>
      </sharedItems>
    </cacheField>
    <cacheField name="DeptName" numFmtId="0">
      <sharedItems count="5">
        <s v="Finance"/>
        <s v="Human Resources"/>
        <s v="Operations"/>
        <s v="Quality"/>
        <s v="Technology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1"/>
    <x v="0"/>
    <x v="2"/>
    <x v="8"/>
    <x v="1"/>
    <x v="16"/>
    <x v="7"/>
    <x v="1"/>
    <x v="0"/>
  </r>
  <r>
    <x v="1"/>
    <x v="2"/>
    <x v="4"/>
    <x v="0"/>
    <x v="17"/>
    <x v="2"/>
    <x v="56"/>
    <x v="20"/>
    <x v="1"/>
    <x v="3"/>
  </r>
  <r>
    <x v="2"/>
    <x v="3"/>
    <x v="1"/>
    <x v="1"/>
    <x v="26"/>
    <x v="0"/>
    <x v="9"/>
    <x v="25"/>
    <x v="1"/>
    <x v="1"/>
  </r>
  <r>
    <x v="3"/>
    <x v="4"/>
    <x v="2"/>
    <x v="2"/>
    <x v="35"/>
    <x v="1"/>
    <x v="50"/>
    <x v="34"/>
    <x v="1"/>
    <x v="4"/>
  </r>
  <r>
    <x v="4"/>
    <x v="5"/>
    <x v="3"/>
    <x v="0"/>
    <x v="44"/>
    <x v="2"/>
    <x v="101"/>
    <x v="50"/>
    <x v="1"/>
    <x v="2"/>
  </r>
  <r>
    <x v="5"/>
    <x v="6"/>
    <x v="0"/>
    <x v="1"/>
    <x v="53"/>
    <x v="0"/>
    <x v="25"/>
    <x v="52"/>
    <x v="1"/>
    <x v="0"/>
  </r>
  <r>
    <x v="6"/>
    <x v="7"/>
    <x v="4"/>
    <x v="2"/>
    <x v="62"/>
    <x v="1"/>
    <x v="79"/>
    <x v="61"/>
    <x v="0"/>
    <x v="3"/>
  </r>
  <r>
    <x v="7"/>
    <x v="8"/>
    <x v="1"/>
    <x v="0"/>
    <x v="71"/>
    <x v="2"/>
    <x v="155"/>
    <x v="79"/>
    <x v="1"/>
    <x v="1"/>
  </r>
  <r>
    <x v="8"/>
    <x v="9"/>
    <x v="2"/>
    <x v="1"/>
    <x v="80"/>
    <x v="0"/>
    <x v="39"/>
    <x v="78"/>
    <x v="1"/>
    <x v="4"/>
  </r>
  <r>
    <x v="9"/>
    <x v="10"/>
    <x v="3"/>
    <x v="2"/>
    <x v="89"/>
    <x v="1"/>
    <x v="115"/>
    <x v="88"/>
    <x v="1"/>
    <x v="2"/>
  </r>
  <r>
    <x v="10"/>
    <x v="11"/>
    <x v="0"/>
    <x v="0"/>
    <x v="98"/>
    <x v="2"/>
    <x v="200"/>
    <x v="106"/>
    <x v="1"/>
    <x v="0"/>
  </r>
  <r>
    <x v="11"/>
    <x v="12"/>
    <x v="4"/>
    <x v="1"/>
    <x v="107"/>
    <x v="0"/>
    <x v="61"/>
    <x v="103"/>
    <x v="1"/>
    <x v="3"/>
  </r>
  <r>
    <x v="12"/>
    <x v="13"/>
    <x v="1"/>
    <x v="2"/>
    <x v="116"/>
    <x v="1"/>
    <x v="149"/>
    <x v="115"/>
    <x v="1"/>
    <x v="1"/>
  </r>
  <r>
    <x v="13"/>
    <x v="14"/>
    <x v="2"/>
    <x v="0"/>
    <x v="125"/>
    <x v="2"/>
    <x v="254"/>
    <x v="133"/>
    <x v="0"/>
    <x v="4"/>
  </r>
  <r>
    <x v="14"/>
    <x v="15"/>
    <x v="3"/>
    <x v="1"/>
    <x v="134"/>
    <x v="0"/>
    <x v="72"/>
    <x v="129"/>
    <x v="1"/>
    <x v="2"/>
  </r>
  <r>
    <x v="15"/>
    <x v="16"/>
    <x v="0"/>
    <x v="2"/>
    <x v="143"/>
    <x v="1"/>
    <x v="178"/>
    <x v="142"/>
    <x v="1"/>
    <x v="0"/>
  </r>
  <r>
    <x v="16"/>
    <x v="17"/>
    <x v="4"/>
    <x v="0"/>
    <x v="152"/>
    <x v="2"/>
    <x v="299"/>
    <x v="160"/>
    <x v="1"/>
    <x v="3"/>
  </r>
  <r>
    <x v="17"/>
    <x v="18"/>
    <x v="1"/>
    <x v="1"/>
    <x v="161"/>
    <x v="0"/>
    <x v="91"/>
    <x v="154"/>
    <x v="1"/>
    <x v="1"/>
  </r>
  <r>
    <x v="18"/>
    <x v="19"/>
    <x v="2"/>
    <x v="2"/>
    <x v="170"/>
    <x v="1"/>
    <x v="214"/>
    <x v="170"/>
    <x v="1"/>
    <x v="4"/>
  </r>
  <r>
    <x v="19"/>
    <x v="20"/>
    <x v="3"/>
    <x v="0"/>
    <x v="179"/>
    <x v="2"/>
    <x v="353"/>
    <x v="188"/>
    <x v="1"/>
    <x v="2"/>
  </r>
  <r>
    <x v="20"/>
    <x v="21"/>
    <x v="0"/>
    <x v="1"/>
    <x v="188"/>
    <x v="0"/>
    <x v="108"/>
    <x v="179"/>
    <x v="0"/>
    <x v="0"/>
  </r>
  <r>
    <x v="21"/>
    <x v="22"/>
    <x v="4"/>
    <x v="2"/>
    <x v="197"/>
    <x v="1"/>
    <x v="248"/>
    <x v="198"/>
    <x v="1"/>
    <x v="3"/>
  </r>
  <r>
    <x v="22"/>
    <x v="23"/>
    <x v="1"/>
    <x v="0"/>
    <x v="206"/>
    <x v="2"/>
    <x v="398"/>
    <x v="216"/>
    <x v="1"/>
    <x v="1"/>
  </r>
  <r>
    <x v="23"/>
    <x v="24"/>
    <x v="2"/>
    <x v="1"/>
    <x v="215"/>
    <x v="0"/>
    <x v="124"/>
    <x v="205"/>
    <x v="1"/>
    <x v="4"/>
  </r>
  <r>
    <x v="24"/>
    <x v="25"/>
    <x v="3"/>
    <x v="2"/>
    <x v="224"/>
    <x v="1"/>
    <x v="277"/>
    <x v="226"/>
    <x v="1"/>
    <x v="2"/>
  </r>
  <r>
    <x v="25"/>
    <x v="26"/>
    <x v="0"/>
    <x v="0"/>
    <x v="233"/>
    <x v="2"/>
    <x v="452"/>
    <x v="244"/>
    <x v="1"/>
    <x v="0"/>
  </r>
  <r>
    <x v="26"/>
    <x v="27"/>
    <x v="4"/>
    <x v="1"/>
    <x v="242"/>
    <x v="0"/>
    <x v="138"/>
    <x v="232"/>
    <x v="1"/>
    <x v="3"/>
  </r>
  <r>
    <x v="27"/>
    <x v="28"/>
    <x v="1"/>
    <x v="2"/>
    <x v="251"/>
    <x v="1"/>
    <x v="313"/>
    <x v="255"/>
    <x v="0"/>
    <x v="1"/>
  </r>
  <r>
    <x v="28"/>
    <x v="29"/>
    <x v="2"/>
    <x v="0"/>
    <x v="260"/>
    <x v="2"/>
    <x v="497"/>
    <x v="273"/>
    <x v="1"/>
    <x v="4"/>
  </r>
  <r>
    <x v="29"/>
    <x v="30"/>
    <x v="3"/>
    <x v="1"/>
    <x v="269"/>
    <x v="0"/>
    <x v="160"/>
    <x v="259"/>
    <x v="1"/>
    <x v="2"/>
  </r>
  <r>
    <x v="30"/>
    <x v="31"/>
    <x v="0"/>
    <x v="2"/>
    <x v="278"/>
    <x v="1"/>
    <x v="347"/>
    <x v="283"/>
    <x v="1"/>
    <x v="0"/>
  </r>
  <r>
    <x v="31"/>
    <x v="32"/>
    <x v="4"/>
    <x v="0"/>
    <x v="287"/>
    <x v="2"/>
    <x v="551"/>
    <x v="303"/>
    <x v="1"/>
    <x v="3"/>
  </r>
  <r>
    <x v="32"/>
    <x v="33"/>
    <x v="1"/>
    <x v="1"/>
    <x v="296"/>
    <x v="0"/>
    <x v="171"/>
    <x v="286"/>
    <x v="1"/>
    <x v="1"/>
  </r>
  <r>
    <x v="33"/>
    <x v="34"/>
    <x v="2"/>
    <x v="2"/>
    <x v="305"/>
    <x v="1"/>
    <x v="376"/>
    <x v="311"/>
    <x v="1"/>
    <x v="4"/>
  </r>
  <r>
    <x v="34"/>
    <x v="35"/>
    <x v="3"/>
    <x v="0"/>
    <x v="314"/>
    <x v="2"/>
    <x v="596"/>
    <x v="332"/>
    <x v="0"/>
    <x v="2"/>
  </r>
  <r>
    <x v="35"/>
    <x v="36"/>
    <x v="0"/>
    <x v="1"/>
    <x v="323"/>
    <x v="0"/>
    <x v="190"/>
    <x v="313"/>
    <x v="1"/>
    <x v="0"/>
  </r>
  <r>
    <x v="36"/>
    <x v="37"/>
    <x v="4"/>
    <x v="2"/>
    <x v="332"/>
    <x v="1"/>
    <x v="412"/>
    <x v="338"/>
    <x v="1"/>
    <x v="3"/>
  </r>
  <r>
    <x v="37"/>
    <x v="38"/>
    <x v="1"/>
    <x v="0"/>
    <x v="341"/>
    <x v="2"/>
    <x v="650"/>
    <x v="363"/>
    <x v="1"/>
    <x v="1"/>
  </r>
  <r>
    <x v="38"/>
    <x v="39"/>
    <x v="2"/>
    <x v="1"/>
    <x v="350"/>
    <x v="0"/>
    <x v="207"/>
    <x v="339"/>
    <x v="1"/>
    <x v="4"/>
  </r>
  <r>
    <x v="39"/>
    <x v="40"/>
    <x v="3"/>
    <x v="2"/>
    <x v="359"/>
    <x v="1"/>
    <x v="446"/>
    <x v="366"/>
    <x v="1"/>
    <x v="2"/>
  </r>
  <r>
    <x v="40"/>
    <x v="41"/>
    <x v="0"/>
    <x v="0"/>
    <x v="368"/>
    <x v="2"/>
    <x v="692"/>
    <x v="392"/>
    <x v="1"/>
    <x v="0"/>
  </r>
  <r>
    <x v="41"/>
    <x v="42"/>
    <x v="4"/>
    <x v="1"/>
    <x v="377"/>
    <x v="0"/>
    <x v="223"/>
    <x v="365"/>
    <x v="0"/>
    <x v="3"/>
  </r>
  <r>
    <x v="42"/>
    <x v="43"/>
    <x v="1"/>
    <x v="2"/>
    <x v="386"/>
    <x v="1"/>
    <x v="475"/>
    <x v="393"/>
    <x v="1"/>
    <x v="1"/>
  </r>
  <r>
    <x v="43"/>
    <x v="44"/>
    <x v="2"/>
    <x v="0"/>
    <x v="395"/>
    <x v="2"/>
    <x v="740"/>
    <x v="420"/>
    <x v="1"/>
    <x v="4"/>
  </r>
  <r>
    <x v="44"/>
    <x v="45"/>
    <x v="3"/>
    <x v="1"/>
    <x v="404"/>
    <x v="0"/>
    <x v="237"/>
    <x v="389"/>
    <x v="1"/>
    <x v="2"/>
  </r>
  <r>
    <x v="45"/>
    <x v="46"/>
    <x v="0"/>
    <x v="2"/>
    <x v="413"/>
    <x v="1"/>
    <x v="511"/>
    <x v="419"/>
    <x v="1"/>
    <x v="0"/>
  </r>
  <r>
    <x v="46"/>
    <x v="47"/>
    <x v="4"/>
    <x v="0"/>
    <x v="422"/>
    <x v="2"/>
    <x v="758"/>
    <x v="447"/>
    <x v="1"/>
    <x v="3"/>
  </r>
  <r>
    <x v="47"/>
    <x v="48"/>
    <x v="1"/>
    <x v="1"/>
    <x v="431"/>
    <x v="0"/>
    <x v="259"/>
    <x v="413"/>
    <x v="1"/>
    <x v="1"/>
  </r>
  <r>
    <x v="48"/>
    <x v="49"/>
    <x v="2"/>
    <x v="2"/>
    <x v="440"/>
    <x v="1"/>
    <x v="545"/>
    <x v="445"/>
    <x v="0"/>
    <x v="4"/>
  </r>
  <r>
    <x v="49"/>
    <x v="50"/>
    <x v="3"/>
    <x v="0"/>
    <x v="449"/>
    <x v="2"/>
    <x v="785"/>
    <x v="474"/>
    <x v="1"/>
    <x v="2"/>
  </r>
  <r>
    <x v="50"/>
    <x v="51"/>
    <x v="0"/>
    <x v="1"/>
    <x v="458"/>
    <x v="0"/>
    <x v="270"/>
    <x v="438"/>
    <x v="1"/>
    <x v="0"/>
  </r>
  <r>
    <x v="51"/>
    <x v="52"/>
    <x v="4"/>
    <x v="2"/>
    <x v="467"/>
    <x v="1"/>
    <x v="574"/>
    <x v="471"/>
    <x v="1"/>
    <x v="3"/>
  </r>
  <r>
    <x v="52"/>
    <x v="53"/>
    <x v="1"/>
    <x v="0"/>
    <x v="476"/>
    <x v="2"/>
    <x v="803"/>
    <x v="501"/>
    <x v="1"/>
    <x v="1"/>
  </r>
  <r>
    <x v="53"/>
    <x v="54"/>
    <x v="2"/>
    <x v="1"/>
    <x v="485"/>
    <x v="0"/>
    <x v="289"/>
    <x v="462"/>
    <x v="1"/>
    <x v="4"/>
  </r>
  <r>
    <x v="54"/>
    <x v="55"/>
    <x v="3"/>
    <x v="2"/>
    <x v="494"/>
    <x v="1"/>
    <x v="610"/>
    <x v="497"/>
    <x v="1"/>
    <x v="2"/>
  </r>
  <r>
    <x v="55"/>
    <x v="56"/>
    <x v="0"/>
    <x v="0"/>
    <x v="503"/>
    <x v="2"/>
    <x v="830"/>
    <x v="528"/>
    <x v="0"/>
    <x v="0"/>
  </r>
  <r>
    <x v="56"/>
    <x v="57"/>
    <x v="4"/>
    <x v="1"/>
    <x v="512"/>
    <x v="0"/>
    <x v="306"/>
    <x v="486"/>
    <x v="1"/>
    <x v="3"/>
  </r>
  <r>
    <x v="57"/>
    <x v="58"/>
    <x v="1"/>
    <x v="2"/>
    <x v="521"/>
    <x v="1"/>
    <x v="644"/>
    <x v="523"/>
    <x v="1"/>
    <x v="1"/>
  </r>
  <r>
    <x v="58"/>
    <x v="59"/>
    <x v="2"/>
    <x v="0"/>
    <x v="530"/>
    <x v="2"/>
    <x v="848"/>
    <x v="555"/>
    <x v="1"/>
    <x v="4"/>
  </r>
  <r>
    <x v="59"/>
    <x v="60"/>
    <x v="3"/>
    <x v="1"/>
    <x v="539"/>
    <x v="0"/>
    <x v="322"/>
    <x v="512"/>
    <x v="1"/>
    <x v="2"/>
  </r>
  <r>
    <x v="60"/>
    <x v="61"/>
    <x v="0"/>
    <x v="2"/>
    <x v="548"/>
    <x v="1"/>
    <x v="672"/>
    <x v="549"/>
    <x v="1"/>
    <x v="0"/>
  </r>
  <r>
    <x v="61"/>
    <x v="62"/>
    <x v="4"/>
    <x v="0"/>
    <x v="557"/>
    <x v="2"/>
    <x v="875"/>
    <x v="584"/>
    <x v="1"/>
    <x v="3"/>
  </r>
  <r>
    <x v="62"/>
    <x v="63"/>
    <x v="1"/>
    <x v="1"/>
    <x v="566"/>
    <x v="0"/>
    <x v="336"/>
    <x v="538"/>
    <x v="0"/>
    <x v="1"/>
  </r>
  <r>
    <x v="63"/>
    <x v="64"/>
    <x v="2"/>
    <x v="2"/>
    <x v="575"/>
    <x v="1"/>
    <x v="706"/>
    <x v="575"/>
    <x v="1"/>
    <x v="4"/>
  </r>
  <r>
    <x v="64"/>
    <x v="65"/>
    <x v="3"/>
    <x v="0"/>
    <x v="584"/>
    <x v="2"/>
    <x v="893"/>
    <x v="613"/>
    <x v="1"/>
    <x v="2"/>
  </r>
  <r>
    <x v="65"/>
    <x v="66"/>
    <x v="0"/>
    <x v="1"/>
    <x v="593"/>
    <x v="0"/>
    <x v="358"/>
    <x v="564"/>
    <x v="1"/>
    <x v="0"/>
  </r>
  <r>
    <x v="66"/>
    <x v="67"/>
    <x v="4"/>
    <x v="2"/>
    <x v="602"/>
    <x v="1"/>
    <x v="738"/>
    <x v="601"/>
    <x v="1"/>
    <x v="3"/>
  </r>
  <r>
    <x v="67"/>
    <x v="68"/>
    <x v="1"/>
    <x v="0"/>
    <x v="611"/>
    <x v="2"/>
    <x v="920"/>
    <x v="643"/>
    <x v="1"/>
    <x v="1"/>
  </r>
  <r>
    <x v="68"/>
    <x v="69"/>
    <x v="2"/>
    <x v="1"/>
    <x v="620"/>
    <x v="0"/>
    <x v="369"/>
    <x v="591"/>
    <x v="1"/>
    <x v="4"/>
  </r>
  <r>
    <x v="69"/>
    <x v="70"/>
    <x v="3"/>
    <x v="2"/>
    <x v="629"/>
    <x v="1"/>
    <x v="749"/>
    <x v="627"/>
    <x v="0"/>
    <x v="2"/>
  </r>
  <r>
    <x v="70"/>
    <x v="71"/>
    <x v="0"/>
    <x v="0"/>
    <x v="638"/>
    <x v="2"/>
    <x v="938"/>
    <x v="672"/>
    <x v="1"/>
    <x v="0"/>
  </r>
  <r>
    <x v="71"/>
    <x v="72"/>
    <x v="4"/>
    <x v="1"/>
    <x v="647"/>
    <x v="0"/>
    <x v="388"/>
    <x v="618"/>
    <x v="1"/>
    <x v="3"/>
  </r>
  <r>
    <x v="72"/>
    <x v="73"/>
    <x v="1"/>
    <x v="2"/>
    <x v="656"/>
    <x v="1"/>
    <x v="767"/>
    <x v="654"/>
    <x v="1"/>
    <x v="1"/>
  </r>
  <r>
    <x v="73"/>
    <x v="74"/>
    <x v="2"/>
    <x v="0"/>
    <x v="665"/>
    <x v="2"/>
    <x v="965"/>
    <x v="699"/>
    <x v="1"/>
    <x v="4"/>
  </r>
  <r>
    <x v="74"/>
    <x v="75"/>
    <x v="3"/>
    <x v="1"/>
    <x v="674"/>
    <x v="0"/>
    <x v="405"/>
    <x v="645"/>
    <x v="1"/>
    <x v="2"/>
  </r>
  <r>
    <x v="75"/>
    <x v="76"/>
    <x v="0"/>
    <x v="2"/>
    <x v="683"/>
    <x v="1"/>
    <x v="783"/>
    <x v="681"/>
    <x v="1"/>
    <x v="0"/>
  </r>
  <r>
    <x v="76"/>
    <x v="77"/>
    <x v="4"/>
    <x v="0"/>
    <x v="692"/>
    <x v="2"/>
    <x v="983"/>
    <x v="726"/>
    <x v="0"/>
    <x v="3"/>
  </r>
  <r>
    <x v="77"/>
    <x v="78"/>
    <x v="1"/>
    <x v="1"/>
    <x v="701"/>
    <x v="0"/>
    <x v="421"/>
    <x v="671"/>
    <x v="1"/>
    <x v="1"/>
  </r>
  <r>
    <x v="78"/>
    <x v="79"/>
    <x v="2"/>
    <x v="2"/>
    <x v="710"/>
    <x v="1"/>
    <x v="794"/>
    <x v="708"/>
    <x v="1"/>
    <x v="4"/>
  </r>
  <r>
    <x v="79"/>
    <x v="80"/>
    <x v="3"/>
    <x v="0"/>
    <x v="719"/>
    <x v="2"/>
    <x v="1009"/>
    <x v="753"/>
    <x v="1"/>
    <x v="2"/>
  </r>
  <r>
    <x v="80"/>
    <x v="81"/>
    <x v="0"/>
    <x v="1"/>
    <x v="728"/>
    <x v="0"/>
    <x v="435"/>
    <x v="696"/>
    <x v="1"/>
    <x v="0"/>
  </r>
  <r>
    <x v="81"/>
    <x v="82"/>
    <x v="4"/>
    <x v="2"/>
    <x v="737"/>
    <x v="1"/>
    <x v="812"/>
    <x v="736"/>
    <x v="1"/>
    <x v="3"/>
  </r>
  <r>
    <x v="82"/>
    <x v="83"/>
    <x v="1"/>
    <x v="0"/>
    <x v="746"/>
    <x v="2"/>
    <x v="1026"/>
    <x v="780"/>
    <x v="1"/>
    <x v="1"/>
  </r>
  <r>
    <x v="83"/>
    <x v="84"/>
    <x v="2"/>
    <x v="1"/>
    <x v="755"/>
    <x v="0"/>
    <x v="457"/>
    <x v="722"/>
    <x v="0"/>
    <x v="4"/>
  </r>
  <r>
    <x v="84"/>
    <x v="85"/>
    <x v="3"/>
    <x v="2"/>
    <x v="764"/>
    <x v="1"/>
    <x v="828"/>
    <x v="764"/>
    <x v="1"/>
    <x v="2"/>
  </r>
  <r>
    <x v="85"/>
    <x v="86"/>
    <x v="0"/>
    <x v="0"/>
    <x v="773"/>
    <x v="2"/>
    <x v="1051"/>
    <x v="808"/>
    <x v="1"/>
    <x v="0"/>
  </r>
  <r>
    <x v="86"/>
    <x v="87"/>
    <x v="4"/>
    <x v="1"/>
    <x v="782"/>
    <x v="0"/>
    <x v="468"/>
    <x v="747"/>
    <x v="1"/>
    <x v="3"/>
  </r>
  <r>
    <x v="87"/>
    <x v="88"/>
    <x v="1"/>
    <x v="2"/>
    <x v="791"/>
    <x v="1"/>
    <x v="839"/>
    <x v="792"/>
    <x v="1"/>
    <x v="1"/>
  </r>
  <r>
    <x v="88"/>
    <x v="89"/>
    <x v="2"/>
    <x v="0"/>
    <x v="800"/>
    <x v="2"/>
    <x v="1068"/>
    <x v="836"/>
    <x v="1"/>
    <x v="4"/>
  </r>
  <r>
    <x v="89"/>
    <x v="90"/>
    <x v="3"/>
    <x v="1"/>
    <x v="809"/>
    <x v="0"/>
    <x v="487"/>
    <x v="772"/>
    <x v="1"/>
    <x v="2"/>
  </r>
  <r>
    <x v="90"/>
    <x v="91"/>
    <x v="0"/>
    <x v="2"/>
    <x v="818"/>
    <x v="1"/>
    <x v="857"/>
    <x v="821"/>
    <x v="0"/>
    <x v="0"/>
  </r>
  <r>
    <x v="91"/>
    <x v="92"/>
    <x v="4"/>
    <x v="0"/>
    <x v="827"/>
    <x v="2"/>
    <x v="1078"/>
    <x v="865"/>
    <x v="1"/>
    <x v="3"/>
  </r>
  <r>
    <x v="92"/>
    <x v="93"/>
    <x v="1"/>
    <x v="1"/>
    <x v="836"/>
    <x v="0"/>
    <x v="504"/>
    <x v="798"/>
    <x v="1"/>
    <x v="1"/>
  </r>
  <r>
    <x v="93"/>
    <x v="94"/>
    <x v="2"/>
    <x v="2"/>
    <x v="845"/>
    <x v="1"/>
    <x v="873"/>
    <x v="849"/>
    <x v="1"/>
    <x v="4"/>
  </r>
  <r>
    <x v="94"/>
    <x v="95"/>
    <x v="3"/>
    <x v="0"/>
    <x v="854"/>
    <x v="2"/>
    <x v="1087"/>
    <x v="895"/>
    <x v="1"/>
    <x v="2"/>
  </r>
  <r>
    <x v="95"/>
    <x v="96"/>
    <x v="0"/>
    <x v="1"/>
    <x v="863"/>
    <x v="0"/>
    <x v="520"/>
    <x v="825"/>
    <x v="1"/>
    <x v="0"/>
  </r>
  <r>
    <x v="96"/>
    <x v="97"/>
    <x v="4"/>
    <x v="2"/>
    <x v="872"/>
    <x v="1"/>
    <x v="884"/>
    <x v="877"/>
    <x v="1"/>
    <x v="3"/>
  </r>
  <r>
    <x v="97"/>
    <x v="98"/>
    <x v="1"/>
    <x v="0"/>
    <x v="881"/>
    <x v="2"/>
    <x v="1096"/>
    <x v="924"/>
    <x v="0"/>
    <x v="1"/>
  </r>
  <r>
    <x v="98"/>
    <x v="99"/>
    <x v="2"/>
    <x v="1"/>
    <x v="890"/>
    <x v="0"/>
    <x v="534"/>
    <x v="852"/>
    <x v="1"/>
    <x v="4"/>
  </r>
  <r>
    <x v="99"/>
    <x v="100"/>
    <x v="3"/>
    <x v="2"/>
    <x v="899"/>
    <x v="1"/>
    <x v="902"/>
    <x v="904"/>
    <x v="1"/>
    <x v="2"/>
  </r>
  <r>
    <x v="100"/>
    <x v="101"/>
    <x v="0"/>
    <x v="0"/>
    <x v="908"/>
    <x v="2"/>
    <x v="1105"/>
    <x v="955"/>
    <x v="1"/>
    <x v="0"/>
  </r>
  <r>
    <x v="101"/>
    <x v="102"/>
    <x v="4"/>
    <x v="1"/>
    <x v="917"/>
    <x v="0"/>
    <x v="556"/>
    <x v="879"/>
    <x v="1"/>
    <x v="3"/>
  </r>
  <r>
    <x v="102"/>
    <x v="103"/>
    <x v="1"/>
    <x v="2"/>
    <x v="926"/>
    <x v="1"/>
    <x v="918"/>
    <x v="932"/>
    <x v="1"/>
    <x v="1"/>
  </r>
  <r>
    <x v="103"/>
    <x v="104"/>
    <x v="2"/>
    <x v="0"/>
    <x v="935"/>
    <x v="2"/>
    <x v="1114"/>
    <x v="984"/>
    <x v="1"/>
    <x v="4"/>
  </r>
  <r>
    <x v="104"/>
    <x v="105"/>
    <x v="3"/>
    <x v="1"/>
    <x v="944"/>
    <x v="0"/>
    <x v="567"/>
    <x v="905"/>
    <x v="0"/>
    <x v="2"/>
  </r>
  <r>
    <x v="105"/>
    <x v="106"/>
    <x v="0"/>
    <x v="2"/>
    <x v="953"/>
    <x v="1"/>
    <x v="929"/>
    <x v="959"/>
    <x v="1"/>
    <x v="0"/>
  </r>
  <r>
    <x v="106"/>
    <x v="107"/>
    <x v="4"/>
    <x v="0"/>
    <x v="962"/>
    <x v="2"/>
    <x v="1123"/>
    <x v="1012"/>
    <x v="1"/>
    <x v="3"/>
  </r>
  <r>
    <x v="107"/>
    <x v="108"/>
    <x v="1"/>
    <x v="1"/>
    <x v="971"/>
    <x v="0"/>
    <x v="586"/>
    <x v="931"/>
    <x v="1"/>
    <x v="1"/>
  </r>
  <r>
    <x v="108"/>
    <x v="109"/>
    <x v="2"/>
    <x v="2"/>
    <x v="980"/>
    <x v="1"/>
    <x v="947"/>
    <x v="986"/>
    <x v="1"/>
    <x v="4"/>
  </r>
  <r>
    <x v="109"/>
    <x v="110"/>
    <x v="3"/>
    <x v="0"/>
    <x v="989"/>
    <x v="2"/>
    <x v="1132"/>
    <x v="1040"/>
    <x v="1"/>
    <x v="2"/>
  </r>
  <r>
    <x v="110"/>
    <x v="111"/>
    <x v="0"/>
    <x v="1"/>
    <x v="998"/>
    <x v="0"/>
    <x v="603"/>
    <x v="957"/>
    <x v="1"/>
    <x v="0"/>
  </r>
  <r>
    <x v="111"/>
    <x v="112"/>
    <x v="4"/>
    <x v="2"/>
    <x v="1007"/>
    <x v="1"/>
    <x v="963"/>
    <x v="1013"/>
    <x v="0"/>
    <x v="3"/>
  </r>
  <r>
    <x v="112"/>
    <x v="113"/>
    <x v="1"/>
    <x v="0"/>
    <x v="1016"/>
    <x v="2"/>
    <x v="1141"/>
    <x v="1066"/>
    <x v="1"/>
    <x v="1"/>
  </r>
  <r>
    <x v="113"/>
    <x v="114"/>
    <x v="2"/>
    <x v="1"/>
    <x v="1025"/>
    <x v="0"/>
    <x v="619"/>
    <x v="981"/>
    <x v="1"/>
    <x v="4"/>
  </r>
  <r>
    <x v="114"/>
    <x v="115"/>
    <x v="3"/>
    <x v="2"/>
    <x v="1034"/>
    <x v="1"/>
    <x v="974"/>
    <x v="1039"/>
    <x v="1"/>
    <x v="2"/>
  </r>
  <r>
    <x v="115"/>
    <x v="116"/>
    <x v="0"/>
    <x v="0"/>
    <x v="1043"/>
    <x v="2"/>
    <x v="1150"/>
    <x v="1091"/>
    <x v="1"/>
    <x v="0"/>
  </r>
  <r>
    <x v="116"/>
    <x v="117"/>
    <x v="4"/>
    <x v="1"/>
    <x v="1052"/>
    <x v="0"/>
    <x v="633"/>
    <x v="1005"/>
    <x v="1"/>
    <x v="3"/>
  </r>
  <r>
    <x v="117"/>
    <x v="118"/>
    <x v="1"/>
    <x v="2"/>
    <x v="1061"/>
    <x v="1"/>
    <x v="992"/>
    <x v="1064"/>
    <x v="1"/>
    <x v="1"/>
  </r>
  <r>
    <x v="118"/>
    <x v="119"/>
    <x v="2"/>
    <x v="0"/>
    <x v="1070"/>
    <x v="2"/>
    <x v="1159"/>
    <x v="1116"/>
    <x v="0"/>
    <x v="4"/>
  </r>
  <r>
    <x v="119"/>
    <x v="120"/>
    <x v="3"/>
    <x v="1"/>
    <x v="1078"/>
    <x v="0"/>
    <x v="655"/>
    <x v="1030"/>
    <x v="1"/>
    <x v="2"/>
  </r>
  <r>
    <x v="120"/>
    <x v="121"/>
    <x v="0"/>
    <x v="2"/>
    <x v="1086"/>
    <x v="1"/>
    <x v="1007"/>
    <x v="1088"/>
    <x v="1"/>
    <x v="0"/>
  </r>
  <r>
    <x v="121"/>
    <x v="122"/>
    <x v="4"/>
    <x v="0"/>
    <x v="1094"/>
    <x v="2"/>
    <x v="1167"/>
    <x v="1140"/>
    <x v="1"/>
    <x v="3"/>
  </r>
  <r>
    <x v="122"/>
    <x v="123"/>
    <x v="1"/>
    <x v="1"/>
    <x v="1102"/>
    <x v="0"/>
    <x v="665"/>
    <x v="1053"/>
    <x v="1"/>
    <x v="1"/>
  </r>
  <r>
    <x v="123"/>
    <x v="124"/>
    <x v="2"/>
    <x v="2"/>
    <x v="1110"/>
    <x v="1"/>
    <x v="1017"/>
    <x v="1112"/>
    <x v="1"/>
    <x v="4"/>
  </r>
  <r>
    <x v="124"/>
    <x v="125"/>
    <x v="3"/>
    <x v="0"/>
    <x v="1118"/>
    <x v="2"/>
    <x v="1175"/>
    <x v="1164"/>
    <x v="1"/>
    <x v="2"/>
  </r>
  <r>
    <x v="125"/>
    <x v="126"/>
    <x v="0"/>
    <x v="1"/>
    <x v="1126"/>
    <x v="0"/>
    <x v="683"/>
    <x v="1075"/>
    <x v="0"/>
    <x v="0"/>
  </r>
  <r>
    <x v="126"/>
    <x v="127"/>
    <x v="4"/>
    <x v="2"/>
    <x v="1134"/>
    <x v="1"/>
    <x v="1034"/>
    <x v="1135"/>
    <x v="1"/>
    <x v="3"/>
  </r>
  <r>
    <x v="127"/>
    <x v="128"/>
    <x v="1"/>
    <x v="0"/>
    <x v="1142"/>
    <x v="2"/>
    <x v="1183"/>
    <x v="1180"/>
    <x v="1"/>
    <x v="1"/>
  </r>
  <r>
    <x v="128"/>
    <x v="129"/>
    <x v="2"/>
    <x v="1"/>
    <x v="1150"/>
    <x v="0"/>
    <x v="699"/>
    <x v="1099"/>
    <x v="1"/>
    <x v="4"/>
  </r>
  <r>
    <x v="129"/>
    <x v="130"/>
    <x v="3"/>
    <x v="2"/>
    <x v="1158"/>
    <x v="1"/>
    <x v="1049"/>
    <x v="1158"/>
    <x v="1"/>
    <x v="2"/>
  </r>
  <r>
    <x v="130"/>
    <x v="131"/>
    <x v="0"/>
    <x v="0"/>
    <x v="1166"/>
    <x v="2"/>
    <x v="1191"/>
    <x v="1189"/>
    <x v="1"/>
    <x v="0"/>
  </r>
  <r>
    <x v="131"/>
    <x v="132"/>
    <x v="4"/>
    <x v="1"/>
    <x v="1174"/>
    <x v="0"/>
    <x v="714"/>
    <x v="1124"/>
    <x v="1"/>
    <x v="3"/>
  </r>
  <r>
    <x v="132"/>
    <x v="133"/>
    <x v="1"/>
    <x v="2"/>
    <x v="1182"/>
    <x v="1"/>
    <x v="1059"/>
    <x v="1173"/>
    <x v="0"/>
    <x v="1"/>
  </r>
  <r>
    <x v="133"/>
    <x v="134"/>
    <x v="2"/>
    <x v="0"/>
    <x v="1190"/>
    <x v="2"/>
    <x v="1199"/>
    <x v="1197"/>
    <x v="1"/>
    <x v="4"/>
  </r>
  <r>
    <x v="134"/>
    <x v="135"/>
    <x v="3"/>
    <x v="1"/>
    <x v="1198"/>
    <x v="0"/>
    <x v="727"/>
    <x v="1148"/>
    <x v="1"/>
    <x v="2"/>
  </r>
  <r>
    <x v="135"/>
    <x v="136"/>
    <x v="0"/>
    <x v="2"/>
    <x v="6"/>
    <x v="1"/>
    <x v="15"/>
    <x v="6"/>
    <x v="1"/>
    <x v="0"/>
  </r>
  <r>
    <x v="136"/>
    <x v="137"/>
    <x v="4"/>
    <x v="0"/>
    <x v="15"/>
    <x v="2"/>
    <x v="52"/>
    <x v="18"/>
    <x v="1"/>
    <x v="3"/>
  </r>
  <r>
    <x v="137"/>
    <x v="138"/>
    <x v="1"/>
    <x v="1"/>
    <x v="24"/>
    <x v="0"/>
    <x v="8"/>
    <x v="24"/>
    <x v="1"/>
    <x v="1"/>
  </r>
  <r>
    <x v="138"/>
    <x v="139"/>
    <x v="2"/>
    <x v="2"/>
    <x v="33"/>
    <x v="1"/>
    <x v="48"/>
    <x v="33"/>
    <x v="1"/>
    <x v="4"/>
  </r>
  <r>
    <x v="139"/>
    <x v="140"/>
    <x v="3"/>
    <x v="0"/>
    <x v="42"/>
    <x v="2"/>
    <x v="97"/>
    <x v="47"/>
    <x v="0"/>
    <x v="2"/>
  </r>
  <r>
    <x v="140"/>
    <x v="141"/>
    <x v="0"/>
    <x v="1"/>
    <x v="51"/>
    <x v="0"/>
    <x v="24"/>
    <x v="51"/>
    <x v="1"/>
    <x v="0"/>
  </r>
  <r>
    <x v="141"/>
    <x v="142"/>
    <x v="4"/>
    <x v="2"/>
    <x v="60"/>
    <x v="1"/>
    <x v="78"/>
    <x v="60"/>
    <x v="1"/>
    <x v="3"/>
  </r>
  <r>
    <x v="142"/>
    <x v="143"/>
    <x v="1"/>
    <x v="0"/>
    <x v="69"/>
    <x v="2"/>
    <x v="151"/>
    <x v="77"/>
    <x v="1"/>
    <x v="1"/>
  </r>
  <r>
    <x v="143"/>
    <x v="144"/>
    <x v="2"/>
    <x v="1"/>
    <x v="78"/>
    <x v="0"/>
    <x v="37"/>
    <x v="76"/>
    <x v="1"/>
    <x v="4"/>
  </r>
  <r>
    <x v="144"/>
    <x v="145"/>
    <x v="3"/>
    <x v="2"/>
    <x v="87"/>
    <x v="1"/>
    <x v="114"/>
    <x v="87"/>
    <x v="1"/>
    <x v="2"/>
  </r>
  <r>
    <x v="145"/>
    <x v="146"/>
    <x v="0"/>
    <x v="0"/>
    <x v="96"/>
    <x v="2"/>
    <x v="196"/>
    <x v="105"/>
    <x v="1"/>
    <x v="0"/>
  </r>
  <r>
    <x v="146"/>
    <x v="147"/>
    <x v="4"/>
    <x v="1"/>
    <x v="105"/>
    <x v="0"/>
    <x v="60"/>
    <x v="102"/>
    <x v="0"/>
    <x v="3"/>
  </r>
  <r>
    <x v="147"/>
    <x v="148"/>
    <x v="1"/>
    <x v="2"/>
    <x v="114"/>
    <x v="1"/>
    <x v="147"/>
    <x v="114"/>
    <x v="1"/>
    <x v="1"/>
  </r>
  <r>
    <x v="148"/>
    <x v="149"/>
    <x v="2"/>
    <x v="0"/>
    <x v="123"/>
    <x v="2"/>
    <x v="250"/>
    <x v="132"/>
    <x v="1"/>
    <x v="4"/>
  </r>
  <r>
    <x v="149"/>
    <x v="150"/>
    <x v="3"/>
    <x v="1"/>
    <x v="132"/>
    <x v="0"/>
    <x v="71"/>
    <x v="127"/>
    <x v="1"/>
    <x v="2"/>
  </r>
  <r>
    <x v="150"/>
    <x v="151"/>
    <x v="0"/>
    <x v="2"/>
    <x v="141"/>
    <x v="1"/>
    <x v="177"/>
    <x v="141"/>
    <x v="1"/>
    <x v="0"/>
  </r>
  <r>
    <x v="151"/>
    <x v="152"/>
    <x v="4"/>
    <x v="0"/>
    <x v="150"/>
    <x v="2"/>
    <x v="295"/>
    <x v="159"/>
    <x v="1"/>
    <x v="3"/>
  </r>
  <r>
    <x v="152"/>
    <x v="153"/>
    <x v="1"/>
    <x v="1"/>
    <x v="159"/>
    <x v="0"/>
    <x v="89"/>
    <x v="152"/>
    <x v="1"/>
    <x v="1"/>
  </r>
  <r>
    <x v="153"/>
    <x v="154"/>
    <x v="2"/>
    <x v="2"/>
    <x v="168"/>
    <x v="1"/>
    <x v="213"/>
    <x v="168"/>
    <x v="0"/>
    <x v="4"/>
  </r>
  <r>
    <x v="154"/>
    <x v="155"/>
    <x v="3"/>
    <x v="0"/>
    <x v="177"/>
    <x v="2"/>
    <x v="349"/>
    <x v="186"/>
    <x v="1"/>
    <x v="2"/>
  </r>
  <r>
    <x v="155"/>
    <x v="156"/>
    <x v="0"/>
    <x v="1"/>
    <x v="186"/>
    <x v="0"/>
    <x v="107"/>
    <x v="177"/>
    <x v="1"/>
    <x v="0"/>
  </r>
  <r>
    <x v="156"/>
    <x v="157"/>
    <x v="4"/>
    <x v="2"/>
    <x v="195"/>
    <x v="1"/>
    <x v="246"/>
    <x v="196"/>
    <x v="1"/>
    <x v="3"/>
  </r>
  <r>
    <x v="157"/>
    <x v="158"/>
    <x v="1"/>
    <x v="0"/>
    <x v="204"/>
    <x v="2"/>
    <x v="394"/>
    <x v="214"/>
    <x v="1"/>
    <x v="1"/>
  </r>
  <r>
    <x v="158"/>
    <x v="159"/>
    <x v="2"/>
    <x v="1"/>
    <x v="213"/>
    <x v="0"/>
    <x v="123"/>
    <x v="204"/>
    <x v="1"/>
    <x v="4"/>
  </r>
  <r>
    <x v="159"/>
    <x v="160"/>
    <x v="3"/>
    <x v="2"/>
    <x v="222"/>
    <x v="1"/>
    <x v="276"/>
    <x v="224"/>
    <x v="1"/>
    <x v="2"/>
  </r>
  <r>
    <x v="160"/>
    <x v="161"/>
    <x v="0"/>
    <x v="0"/>
    <x v="231"/>
    <x v="2"/>
    <x v="448"/>
    <x v="242"/>
    <x v="0"/>
    <x v="0"/>
  </r>
  <r>
    <x v="161"/>
    <x v="162"/>
    <x v="4"/>
    <x v="1"/>
    <x v="240"/>
    <x v="0"/>
    <x v="136"/>
    <x v="231"/>
    <x v="1"/>
    <x v="3"/>
  </r>
  <r>
    <x v="162"/>
    <x v="163"/>
    <x v="1"/>
    <x v="2"/>
    <x v="249"/>
    <x v="1"/>
    <x v="312"/>
    <x v="252"/>
    <x v="1"/>
    <x v="1"/>
  </r>
  <r>
    <x v="163"/>
    <x v="164"/>
    <x v="2"/>
    <x v="0"/>
    <x v="258"/>
    <x v="2"/>
    <x v="493"/>
    <x v="270"/>
    <x v="1"/>
    <x v="4"/>
  </r>
  <r>
    <x v="164"/>
    <x v="165"/>
    <x v="3"/>
    <x v="1"/>
    <x v="267"/>
    <x v="0"/>
    <x v="159"/>
    <x v="258"/>
    <x v="1"/>
    <x v="2"/>
  </r>
  <r>
    <x v="165"/>
    <x v="166"/>
    <x v="0"/>
    <x v="2"/>
    <x v="276"/>
    <x v="1"/>
    <x v="345"/>
    <x v="281"/>
    <x v="1"/>
    <x v="0"/>
  </r>
  <r>
    <x v="166"/>
    <x v="167"/>
    <x v="4"/>
    <x v="0"/>
    <x v="285"/>
    <x v="2"/>
    <x v="547"/>
    <x v="300"/>
    <x v="1"/>
    <x v="3"/>
  </r>
  <r>
    <x v="167"/>
    <x v="168"/>
    <x v="1"/>
    <x v="1"/>
    <x v="294"/>
    <x v="0"/>
    <x v="170"/>
    <x v="285"/>
    <x v="0"/>
    <x v="1"/>
  </r>
  <r>
    <x v="168"/>
    <x v="169"/>
    <x v="2"/>
    <x v="2"/>
    <x v="303"/>
    <x v="1"/>
    <x v="375"/>
    <x v="309"/>
    <x v="1"/>
    <x v="4"/>
  </r>
  <r>
    <x v="169"/>
    <x v="170"/>
    <x v="3"/>
    <x v="0"/>
    <x v="312"/>
    <x v="2"/>
    <x v="592"/>
    <x v="329"/>
    <x v="1"/>
    <x v="2"/>
  </r>
  <r>
    <x v="170"/>
    <x v="171"/>
    <x v="0"/>
    <x v="1"/>
    <x v="321"/>
    <x v="0"/>
    <x v="188"/>
    <x v="312"/>
    <x v="1"/>
    <x v="0"/>
  </r>
  <r>
    <x v="171"/>
    <x v="172"/>
    <x v="4"/>
    <x v="2"/>
    <x v="330"/>
    <x v="1"/>
    <x v="411"/>
    <x v="336"/>
    <x v="1"/>
    <x v="3"/>
  </r>
  <r>
    <x v="172"/>
    <x v="173"/>
    <x v="1"/>
    <x v="0"/>
    <x v="339"/>
    <x v="2"/>
    <x v="646"/>
    <x v="359"/>
    <x v="1"/>
    <x v="1"/>
  </r>
  <r>
    <x v="173"/>
    <x v="174"/>
    <x v="2"/>
    <x v="1"/>
    <x v="348"/>
    <x v="0"/>
    <x v="206"/>
    <x v="337"/>
    <x v="1"/>
    <x v="4"/>
  </r>
  <r>
    <x v="174"/>
    <x v="175"/>
    <x v="3"/>
    <x v="2"/>
    <x v="357"/>
    <x v="1"/>
    <x v="444"/>
    <x v="364"/>
    <x v="0"/>
    <x v="2"/>
  </r>
  <r>
    <x v="175"/>
    <x v="176"/>
    <x v="0"/>
    <x v="0"/>
    <x v="366"/>
    <x v="2"/>
    <x v="688"/>
    <x v="390"/>
    <x v="1"/>
    <x v="0"/>
  </r>
  <r>
    <x v="176"/>
    <x v="177"/>
    <x v="4"/>
    <x v="1"/>
    <x v="375"/>
    <x v="0"/>
    <x v="222"/>
    <x v="362"/>
    <x v="1"/>
    <x v="3"/>
  </r>
  <r>
    <x v="177"/>
    <x v="178"/>
    <x v="1"/>
    <x v="2"/>
    <x v="384"/>
    <x v="1"/>
    <x v="474"/>
    <x v="391"/>
    <x v="1"/>
    <x v="1"/>
  </r>
  <r>
    <x v="178"/>
    <x v="179"/>
    <x v="2"/>
    <x v="0"/>
    <x v="393"/>
    <x v="2"/>
    <x v="739"/>
    <x v="418"/>
    <x v="1"/>
    <x v="4"/>
  </r>
  <r>
    <x v="179"/>
    <x v="180"/>
    <x v="3"/>
    <x v="1"/>
    <x v="402"/>
    <x v="0"/>
    <x v="235"/>
    <x v="386"/>
    <x v="1"/>
    <x v="2"/>
  </r>
  <r>
    <x v="180"/>
    <x v="181"/>
    <x v="0"/>
    <x v="2"/>
    <x v="411"/>
    <x v="1"/>
    <x v="510"/>
    <x v="417"/>
    <x v="1"/>
    <x v="0"/>
  </r>
  <r>
    <x v="181"/>
    <x v="182"/>
    <x v="4"/>
    <x v="0"/>
    <x v="420"/>
    <x v="2"/>
    <x v="757"/>
    <x v="446"/>
    <x v="0"/>
    <x v="3"/>
  </r>
  <r>
    <x v="182"/>
    <x v="183"/>
    <x v="1"/>
    <x v="1"/>
    <x v="429"/>
    <x v="0"/>
    <x v="258"/>
    <x v="411"/>
    <x v="1"/>
    <x v="1"/>
  </r>
  <r>
    <x v="183"/>
    <x v="184"/>
    <x v="2"/>
    <x v="2"/>
    <x v="438"/>
    <x v="1"/>
    <x v="543"/>
    <x v="443"/>
    <x v="1"/>
    <x v="4"/>
  </r>
  <r>
    <x v="184"/>
    <x v="185"/>
    <x v="3"/>
    <x v="0"/>
    <x v="447"/>
    <x v="2"/>
    <x v="784"/>
    <x v="473"/>
    <x v="1"/>
    <x v="2"/>
  </r>
  <r>
    <x v="185"/>
    <x v="186"/>
    <x v="0"/>
    <x v="1"/>
    <x v="456"/>
    <x v="0"/>
    <x v="269"/>
    <x v="435"/>
    <x v="1"/>
    <x v="0"/>
  </r>
  <r>
    <x v="186"/>
    <x v="187"/>
    <x v="4"/>
    <x v="2"/>
    <x v="465"/>
    <x v="1"/>
    <x v="573"/>
    <x v="469"/>
    <x v="1"/>
    <x v="3"/>
  </r>
  <r>
    <x v="187"/>
    <x v="188"/>
    <x v="1"/>
    <x v="0"/>
    <x v="474"/>
    <x v="2"/>
    <x v="802"/>
    <x v="500"/>
    <x v="1"/>
    <x v="1"/>
  </r>
  <r>
    <x v="188"/>
    <x v="189"/>
    <x v="2"/>
    <x v="1"/>
    <x v="483"/>
    <x v="0"/>
    <x v="287"/>
    <x v="459"/>
    <x v="0"/>
    <x v="4"/>
  </r>
  <r>
    <x v="189"/>
    <x v="190"/>
    <x v="3"/>
    <x v="2"/>
    <x v="492"/>
    <x v="1"/>
    <x v="609"/>
    <x v="495"/>
    <x v="1"/>
    <x v="2"/>
  </r>
  <r>
    <x v="190"/>
    <x v="191"/>
    <x v="0"/>
    <x v="0"/>
    <x v="501"/>
    <x v="2"/>
    <x v="829"/>
    <x v="527"/>
    <x v="1"/>
    <x v="0"/>
  </r>
  <r>
    <x v="191"/>
    <x v="192"/>
    <x v="4"/>
    <x v="1"/>
    <x v="510"/>
    <x v="0"/>
    <x v="305"/>
    <x v="484"/>
    <x v="1"/>
    <x v="3"/>
  </r>
  <r>
    <x v="192"/>
    <x v="193"/>
    <x v="1"/>
    <x v="2"/>
    <x v="519"/>
    <x v="1"/>
    <x v="642"/>
    <x v="521"/>
    <x v="1"/>
    <x v="1"/>
  </r>
  <r>
    <x v="193"/>
    <x v="194"/>
    <x v="2"/>
    <x v="0"/>
    <x v="528"/>
    <x v="2"/>
    <x v="847"/>
    <x v="554"/>
    <x v="1"/>
    <x v="4"/>
  </r>
  <r>
    <x v="194"/>
    <x v="195"/>
    <x v="3"/>
    <x v="1"/>
    <x v="537"/>
    <x v="0"/>
    <x v="321"/>
    <x v="510"/>
    <x v="1"/>
    <x v="2"/>
  </r>
  <r>
    <x v="195"/>
    <x v="196"/>
    <x v="0"/>
    <x v="2"/>
    <x v="546"/>
    <x v="1"/>
    <x v="671"/>
    <x v="547"/>
    <x v="0"/>
    <x v="0"/>
  </r>
  <r>
    <x v="196"/>
    <x v="197"/>
    <x v="4"/>
    <x v="0"/>
    <x v="555"/>
    <x v="2"/>
    <x v="874"/>
    <x v="582"/>
    <x v="1"/>
    <x v="3"/>
  </r>
  <r>
    <x v="197"/>
    <x v="198"/>
    <x v="1"/>
    <x v="1"/>
    <x v="564"/>
    <x v="0"/>
    <x v="334"/>
    <x v="536"/>
    <x v="1"/>
    <x v="1"/>
  </r>
  <r>
    <x v="198"/>
    <x v="199"/>
    <x v="2"/>
    <x v="2"/>
    <x v="573"/>
    <x v="1"/>
    <x v="705"/>
    <x v="573"/>
    <x v="1"/>
    <x v="4"/>
  </r>
  <r>
    <x v="199"/>
    <x v="200"/>
    <x v="3"/>
    <x v="0"/>
    <x v="582"/>
    <x v="2"/>
    <x v="892"/>
    <x v="611"/>
    <x v="1"/>
    <x v="2"/>
  </r>
  <r>
    <x v="200"/>
    <x v="201"/>
    <x v="0"/>
    <x v="1"/>
    <x v="591"/>
    <x v="0"/>
    <x v="357"/>
    <x v="563"/>
    <x v="1"/>
    <x v="0"/>
  </r>
  <r>
    <x v="201"/>
    <x v="202"/>
    <x v="4"/>
    <x v="2"/>
    <x v="600"/>
    <x v="1"/>
    <x v="736"/>
    <x v="599"/>
    <x v="1"/>
    <x v="3"/>
  </r>
  <r>
    <x v="202"/>
    <x v="203"/>
    <x v="1"/>
    <x v="0"/>
    <x v="609"/>
    <x v="2"/>
    <x v="919"/>
    <x v="640"/>
    <x v="0"/>
    <x v="1"/>
  </r>
  <r>
    <x v="203"/>
    <x v="204"/>
    <x v="2"/>
    <x v="1"/>
    <x v="618"/>
    <x v="0"/>
    <x v="368"/>
    <x v="590"/>
    <x v="1"/>
    <x v="4"/>
  </r>
  <r>
    <x v="204"/>
    <x v="205"/>
    <x v="3"/>
    <x v="2"/>
    <x v="627"/>
    <x v="1"/>
    <x v="748"/>
    <x v="626"/>
    <x v="1"/>
    <x v="2"/>
  </r>
  <r>
    <x v="205"/>
    <x v="206"/>
    <x v="0"/>
    <x v="0"/>
    <x v="636"/>
    <x v="2"/>
    <x v="937"/>
    <x v="670"/>
    <x v="1"/>
    <x v="0"/>
  </r>
  <r>
    <x v="206"/>
    <x v="207"/>
    <x v="4"/>
    <x v="1"/>
    <x v="645"/>
    <x v="0"/>
    <x v="386"/>
    <x v="617"/>
    <x v="1"/>
    <x v="3"/>
  </r>
  <r>
    <x v="207"/>
    <x v="208"/>
    <x v="1"/>
    <x v="2"/>
    <x v="654"/>
    <x v="1"/>
    <x v="766"/>
    <x v="653"/>
    <x v="1"/>
    <x v="1"/>
  </r>
  <r>
    <x v="208"/>
    <x v="209"/>
    <x v="2"/>
    <x v="0"/>
    <x v="663"/>
    <x v="2"/>
    <x v="964"/>
    <x v="698"/>
    <x v="1"/>
    <x v="4"/>
  </r>
  <r>
    <x v="209"/>
    <x v="210"/>
    <x v="3"/>
    <x v="1"/>
    <x v="672"/>
    <x v="0"/>
    <x v="404"/>
    <x v="644"/>
    <x v="0"/>
    <x v="2"/>
  </r>
  <r>
    <x v="210"/>
    <x v="211"/>
    <x v="0"/>
    <x v="2"/>
    <x v="681"/>
    <x v="1"/>
    <x v="781"/>
    <x v="680"/>
    <x v="1"/>
    <x v="0"/>
  </r>
  <r>
    <x v="211"/>
    <x v="212"/>
    <x v="4"/>
    <x v="0"/>
    <x v="690"/>
    <x v="2"/>
    <x v="982"/>
    <x v="725"/>
    <x v="1"/>
    <x v="3"/>
  </r>
  <r>
    <x v="212"/>
    <x v="213"/>
    <x v="1"/>
    <x v="1"/>
    <x v="699"/>
    <x v="0"/>
    <x v="420"/>
    <x v="669"/>
    <x v="1"/>
    <x v="1"/>
  </r>
  <r>
    <x v="213"/>
    <x v="214"/>
    <x v="2"/>
    <x v="2"/>
    <x v="708"/>
    <x v="1"/>
    <x v="793"/>
    <x v="707"/>
    <x v="1"/>
    <x v="4"/>
  </r>
  <r>
    <x v="214"/>
    <x v="215"/>
    <x v="3"/>
    <x v="0"/>
    <x v="717"/>
    <x v="2"/>
    <x v="1008"/>
    <x v="752"/>
    <x v="1"/>
    <x v="2"/>
  </r>
  <r>
    <x v="215"/>
    <x v="216"/>
    <x v="0"/>
    <x v="1"/>
    <x v="726"/>
    <x v="0"/>
    <x v="433"/>
    <x v="695"/>
    <x v="1"/>
    <x v="0"/>
  </r>
  <r>
    <x v="216"/>
    <x v="217"/>
    <x v="4"/>
    <x v="2"/>
    <x v="735"/>
    <x v="1"/>
    <x v="811"/>
    <x v="734"/>
    <x v="0"/>
    <x v="3"/>
  </r>
  <r>
    <x v="217"/>
    <x v="218"/>
    <x v="1"/>
    <x v="0"/>
    <x v="744"/>
    <x v="2"/>
    <x v="1025"/>
    <x v="779"/>
    <x v="1"/>
    <x v="1"/>
  </r>
  <r>
    <x v="218"/>
    <x v="219"/>
    <x v="2"/>
    <x v="1"/>
    <x v="753"/>
    <x v="0"/>
    <x v="456"/>
    <x v="720"/>
    <x v="1"/>
    <x v="4"/>
  </r>
  <r>
    <x v="219"/>
    <x v="220"/>
    <x v="3"/>
    <x v="2"/>
    <x v="762"/>
    <x v="1"/>
    <x v="826"/>
    <x v="762"/>
    <x v="1"/>
    <x v="2"/>
  </r>
  <r>
    <x v="220"/>
    <x v="221"/>
    <x v="0"/>
    <x v="0"/>
    <x v="771"/>
    <x v="2"/>
    <x v="1050"/>
    <x v="806"/>
    <x v="1"/>
    <x v="0"/>
  </r>
  <r>
    <x v="221"/>
    <x v="222"/>
    <x v="4"/>
    <x v="1"/>
    <x v="780"/>
    <x v="0"/>
    <x v="467"/>
    <x v="745"/>
    <x v="1"/>
    <x v="3"/>
  </r>
  <r>
    <x v="222"/>
    <x v="223"/>
    <x v="1"/>
    <x v="2"/>
    <x v="789"/>
    <x v="1"/>
    <x v="838"/>
    <x v="790"/>
    <x v="1"/>
    <x v="1"/>
  </r>
  <r>
    <x v="223"/>
    <x v="224"/>
    <x v="2"/>
    <x v="0"/>
    <x v="798"/>
    <x v="2"/>
    <x v="1067"/>
    <x v="834"/>
    <x v="0"/>
    <x v="4"/>
  </r>
  <r>
    <x v="224"/>
    <x v="225"/>
    <x v="3"/>
    <x v="1"/>
    <x v="807"/>
    <x v="0"/>
    <x v="485"/>
    <x v="770"/>
    <x v="1"/>
    <x v="2"/>
  </r>
  <r>
    <x v="225"/>
    <x v="226"/>
    <x v="0"/>
    <x v="2"/>
    <x v="816"/>
    <x v="1"/>
    <x v="856"/>
    <x v="818"/>
    <x v="1"/>
    <x v="0"/>
  </r>
  <r>
    <x v="226"/>
    <x v="227"/>
    <x v="4"/>
    <x v="0"/>
    <x v="825"/>
    <x v="2"/>
    <x v="1077"/>
    <x v="862"/>
    <x v="1"/>
    <x v="3"/>
  </r>
  <r>
    <x v="227"/>
    <x v="228"/>
    <x v="1"/>
    <x v="1"/>
    <x v="834"/>
    <x v="0"/>
    <x v="503"/>
    <x v="797"/>
    <x v="1"/>
    <x v="1"/>
  </r>
  <r>
    <x v="228"/>
    <x v="229"/>
    <x v="2"/>
    <x v="2"/>
    <x v="843"/>
    <x v="1"/>
    <x v="871"/>
    <x v="847"/>
    <x v="1"/>
    <x v="4"/>
  </r>
  <r>
    <x v="229"/>
    <x v="230"/>
    <x v="3"/>
    <x v="0"/>
    <x v="852"/>
    <x v="2"/>
    <x v="1086"/>
    <x v="892"/>
    <x v="1"/>
    <x v="2"/>
  </r>
  <r>
    <x v="230"/>
    <x v="231"/>
    <x v="0"/>
    <x v="1"/>
    <x v="861"/>
    <x v="0"/>
    <x v="519"/>
    <x v="824"/>
    <x v="0"/>
    <x v="0"/>
  </r>
  <r>
    <x v="231"/>
    <x v="232"/>
    <x v="4"/>
    <x v="2"/>
    <x v="870"/>
    <x v="1"/>
    <x v="883"/>
    <x v="875"/>
    <x v="1"/>
    <x v="3"/>
  </r>
  <r>
    <x v="232"/>
    <x v="233"/>
    <x v="1"/>
    <x v="0"/>
    <x v="879"/>
    <x v="2"/>
    <x v="1095"/>
    <x v="921"/>
    <x v="1"/>
    <x v="1"/>
  </r>
  <r>
    <x v="233"/>
    <x v="234"/>
    <x v="2"/>
    <x v="1"/>
    <x v="888"/>
    <x v="0"/>
    <x v="532"/>
    <x v="851"/>
    <x v="1"/>
    <x v="4"/>
  </r>
  <r>
    <x v="234"/>
    <x v="235"/>
    <x v="3"/>
    <x v="2"/>
    <x v="897"/>
    <x v="1"/>
    <x v="901"/>
    <x v="902"/>
    <x v="1"/>
    <x v="2"/>
  </r>
  <r>
    <x v="235"/>
    <x v="236"/>
    <x v="0"/>
    <x v="0"/>
    <x v="906"/>
    <x v="2"/>
    <x v="1104"/>
    <x v="951"/>
    <x v="1"/>
    <x v="0"/>
  </r>
  <r>
    <x v="236"/>
    <x v="237"/>
    <x v="4"/>
    <x v="1"/>
    <x v="915"/>
    <x v="0"/>
    <x v="555"/>
    <x v="878"/>
    <x v="1"/>
    <x v="3"/>
  </r>
  <r>
    <x v="237"/>
    <x v="238"/>
    <x v="1"/>
    <x v="2"/>
    <x v="924"/>
    <x v="1"/>
    <x v="916"/>
    <x v="930"/>
    <x v="0"/>
    <x v="1"/>
  </r>
  <r>
    <x v="238"/>
    <x v="239"/>
    <x v="2"/>
    <x v="0"/>
    <x v="933"/>
    <x v="2"/>
    <x v="1113"/>
    <x v="982"/>
    <x v="1"/>
    <x v="4"/>
  </r>
  <r>
    <x v="239"/>
    <x v="240"/>
    <x v="3"/>
    <x v="1"/>
    <x v="942"/>
    <x v="0"/>
    <x v="566"/>
    <x v="903"/>
    <x v="1"/>
    <x v="2"/>
  </r>
  <r>
    <x v="240"/>
    <x v="241"/>
    <x v="0"/>
    <x v="2"/>
    <x v="951"/>
    <x v="1"/>
    <x v="928"/>
    <x v="958"/>
    <x v="1"/>
    <x v="0"/>
  </r>
  <r>
    <x v="241"/>
    <x v="242"/>
    <x v="4"/>
    <x v="0"/>
    <x v="960"/>
    <x v="2"/>
    <x v="1122"/>
    <x v="1010"/>
    <x v="1"/>
    <x v="3"/>
  </r>
  <r>
    <x v="242"/>
    <x v="243"/>
    <x v="1"/>
    <x v="1"/>
    <x v="969"/>
    <x v="0"/>
    <x v="584"/>
    <x v="929"/>
    <x v="1"/>
    <x v="1"/>
  </r>
  <r>
    <x v="243"/>
    <x v="244"/>
    <x v="2"/>
    <x v="2"/>
    <x v="978"/>
    <x v="1"/>
    <x v="946"/>
    <x v="985"/>
    <x v="1"/>
    <x v="4"/>
  </r>
  <r>
    <x v="244"/>
    <x v="245"/>
    <x v="3"/>
    <x v="0"/>
    <x v="987"/>
    <x v="2"/>
    <x v="1131"/>
    <x v="1038"/>
    <x v="0"/>
    <x v="2"/>
  </r>
  <r>
    <x v="245"/>
    <x v="246"/>
    <x v="0"/>
    <x v="1"/>
    <x v="996"/>
    <x v="0"/>
    <x v="602"/>
    <x v="954"/>
    <x v="1"/>
    <x v="0"/>
  </r>
  <r>
    <x v="246"/>
    <x v="247"/>
    <x v="4"/>
    <x v="2"/>
    <x v="1005"/>
    <x v="1"/>
    <x v="961"/>
    <x v="1011"/>
    <x v="1"/>
    <x v="3"/>
  </r>
  <r>
    <x v="247"/>
    <x v="248"/>
    <x v="1"/>
    <x v="0"/>
    <x v="1014"/>
    <x v="2"/>
    <x v="1140"/>
    <x v="1065"/>
    <x v="1"/>
    <x v="1"/>
  </r>
  <r>
    <x v="248"/>
    <x v="249"/>
    <x v="2"/>
    <x v="1"/>
    <x v="1023"/>
    <x v="0"/>
    <x v="618"/>
    <x v="978"/>
    <x v="1"/>
    <x v="4"/>
  </r>
  <r>
    <x v="249"/>
    <x v="250"/>
    <x v="3"/>
    <x v="2"/>
    <x v="1032"/>
    <x v="1"/>
    <x v="973"/>
    <x v="1037"/>
    <x v="1"/>
    <x v="2"/>
  </r>
  <r>
    <x v="250"/>
    <x v="251"/>
    <x v="0"/>
    <x v="0"/>
    <x v="1041"/>
    <x v="2"/>
    <x v="1149"/>
    <x v="1090"/>
    <x v="1"/>
    <x v="0"/>
  </r>
  <r>
    <x v="251"/>
    <x v="252"/>
    <x v="4"/>
    <x v="1"/>
    <x v="1050"/>
    <x v="0"/>
    <x v="631"/>
    <x v="1003"/>
    <x v="0"/>
    <x v="3"/>
  </r>
  <r>
    <x v="252"/>
    <x v="253"/>
    <x v="1"/>
    <x v="2"/>
    <x v="1059"/>
    <x v="1"/>
    <x v="991"/>
    <x v="1062"/>
    <x v="1"/>
    <x v="1"/>
  </r>
  <r>
    <x v="253"/>
    <x v="254"/>
    <x v="2"/>
    <x v="0"/>
    <x v="1068"/>
    <x v="2"/>
    <x v="1158"/>
    <x v="1115"/>
    <x v="1"/>
    <x v="4"/>
  </r>
  <r>
    <x v="254"/>
    <x v="255"/>
    <x v="3"/>
    <x v="1"/>
    <x v="1077"/>
    <x v="0"/>
    <x v="654"/>
    <x v="1027"/>
    <x v="1"/>
    <x v="2"/>
  </r>
  <r>
    <x v="255"/>
    <x v="256"/>
    <x v="0"/>
    <x v="2"/>
    <x v="1085"/>
    <x v="1"/>
    <x v="1005"/>
    <x v="1086"/>
    <x v="1"/>
    <x v="0"/>
  </r>
  <r>
    <x v="256"/>
    <x v="257"/>
    <x v="4"/>
    <x v="0"/>
    <x v="1093"/>
    <x v="2"/>
    <x v="1166"/>
    <x v="1139"/>
    <x v="1"/>
    <x v="3"/>
  </r>
  <r>
    <x v="257"/>
    <x v="258"/>
    <x v="1"/>
    <x v="1"/>
    <x v="1101"/>
    <x v="0"/>
    <x v="664"/>
    <x v="1050"/>
    <x v="1"/>
    <x v="1"/>
  </r>
  <r>
    <x v="258"/>
    <x v="259"/>
    <x v="2"/>
    <x v="2"/>
    <x v="1109"/>
    <x v="1"/>
    <x v="1016"/>
    <x v="1110"/>
    <x v="0"/>
    <x v="4"/>
  </r>
  <r>
    <x v="259"/>
    <x v="260"/>
    <x v="3"/>
    <x v="0"/>
    <x v="1117"/>
    <x v="2"/>
    <x v="1174"/>
    <x v="1163"/>
    <x v="1"/>
    <x v="2"/>
  </r>
  <r>
    <x v="260"/>
    <x v="261"/>
    <x v="0"/>
    <x v="1"/>
    <x v="1125"/>
    <x v="0"/>
    <x v="681"/>
    <x v="1073"/>
    <x v="1"/>
    <x v="0"/>
  </r>
  <r>
    <x v="261"/>
    <x v="262"/>
    <x v="4"/>
    <x v="2"/>
    <x v="1133"/>
    <x v="1"/>
    <x v="1033"/>
    <x v="1133"/>
    <x v="1"/>
    <x v="3"/>
  </r>
  <r>
    <x v="262"/>
    <x v="263"/>
    <x v="1"/>
    <x v="0"/>
    <x v="1141"/>
    <x v="2"/>
    <x v="1182"/>
    <x v="1179"/>
    <x v="1"/>
    <x v="1"/>
  </r>
  <r>
    <x v="263"/>
    <x v="264"/>
    <x v="2"/>
    <x v="1"/>
    <x v="1149"/>
    <x v="0"/>
    <x v="698"/>
    <x v="1098"/>
    <x v="1"/>
    <x v="4"/>
  </r>
  <r>
    <x v="264"/>
    <x v="265"/>
    <x v="3"/>
    <x v="2"/>
    <x v="1157"/>
    <x v="1"/>
    <x v="1047"/>
    <x v="1156"/>
    <x v="1"/>
    <x v="2"/>
  </r>
  <r>
    <x v="265"/>
    <x v="266"/>
    <x v="0"/>
    <x v="0"/>
    <x v="1165"/>
    <x v="2"/>
    <x v="1190"/>
    <x v="1188"/>
    <x v="0"/>
    <x v="0"/>
  </r>
  <r>
    <x v="266"/>
    <x v="267"/>
    <x v="4"/>
    <x v="1"/>
    <x v="1173"/>
    <x v="0"/>
    <x v="713"/>
    <x v="1123"/>
    <x v="1"/>
    <x v="3"/>
  </r>
  <r>
    <x v="267"/>
    <x v="268"/>
    <x v="1"/>
    <x v="2"/>
    <x v="1181"/>
    <x v="1"/>
    <x v="1058"/>
    <x v="1171"/>
    <x v="1"/>
    <x v="1"/>
  </r>
  <r>
    <x v="268"/>
    <x v="269"/>
    <x v="2"/>
    <x v="0"/>
    <x v="1189"/>
    <x v="2"/>
    <x v="1198"/>
    <x v="1196"/>
    <x v="1"/>
    <x v="4"/>
  </r>
  <r>
    <x v="269"/>
    <x v="270"/>
    <x v="3"/>
    <x v="1"/>
    <x v="1197"/>
    <x v="0"/>
    <x v="725"/>
    <x v="1147"/>
    <x v="1"/>
    <x v="2"/>
  </r>
  <r>
    <x v="270"/>
    <x v="271"/>
    <x v="0"/>
    <x v="2"/>
    <x v="5"/>
    <x v="1"/>
    <x v="14"/>
    <x v="5"/>
    <x v="1"/>
    <x v="0"/>
  </r>
  <r>
    <x v="271"/>
    <x v="272"/>
    <x v="4"/>
    <x v="0"/>
    <x v="14"/>
    <x v="2"/>
    <x v="49"/>
    <x v="16"/>
    <x v="1"/>
    <x v="3"/>
  </r>
  <r>
    <x v="272"/>
    <x v="273"/>
    <x v="1"/>
    <x v="1"/>
    <x v="23"/>
    <x v="0"/>
    <x v="6"/>
    <x v="23"/>
    <x v="0"/>
    <x v="1"/>
  </r>
  <r>
    <x v="273"/>
    <x v="274"/>
    <x v="2"/>
    <x v="2"/>
    <x v="32"/>
    <x v="1"/>
    <x v="46"/>
    <x v="32"/>
    <x v="1"/>
    <x v="4"/>
  </r>
  <r>
    <x v="274"/>
    <x v="275"/>
    <x v="3"/>
    <x v="0"/>
    <x v="41"/>
    <x v="2"/>
    <x v="95"/>
    <x v="45"/>
    <x v="1"/>
    <x v="2"/>
  </r>
  <r>
    <x v="275"/>
    <x v="276"/>
    <x v="0"/>
    <x v="1"/>
    <x v="50"/>
    <x v="0"/>
    <x v="23"/>
    <x v="49"/>
    <x v="1"/>
    <x v="0"/>
  </r>
  <r>
    <x v="276"/>
    <x v="277"/>
    <x v="4"/>
    <x v="2"/>
    <x v="59"/>
    <x v="1"/>
    <x v="77"/>
    <x v="59"/>
    <x v="1"/>
    <x v="3"/>
  </r>
  <r>
    <x v="277"/>
    <x v="278"/>
    <x v="1"/>
    <x v="0"/>
    <x v="68"/>
    <x v="2"/>
    <x v="148"/>
    <x v="74"/>
    <x v="1"/>
    <x v="1"/>
  </r>
  <r>
    <x v="278"/>
    <x v="279"/>
    <x v="2"/>
    <x v="1"/>
    <x v="77"/>
    <x v="0"/>
    <x v="35"/>
    <x v="75"/>
    <x v="1"/>
    <x v="4"/>
  </r>
  <r>
    <x v="279"/>
    <x v="280"/>
    <x v="3"/>
    <x v="2"/>
    <x v="86"/>
    <x v="1"/>
    <x v="113"/>
    <x v="86"/>
    <x v="0"/>
    <x v="2"/>
  </r>
  <r>
    <x v="280"/>
    <x v="281"/>
    <x v="0"/>
    <x v="0"/>
    <x v="95"/>
    <x v="2"/>
    <x v="194"/>
    <x v="104"/>
    <x v="1"/>
    <x v="0"/>
  </r>
  <r>
    <x v="281"/>
    <x v="282"/>
    <x v="4"/>
    <x v="1"/>
    <x v="104"/>
    <x v="0"/>
    <x v="59"/>
    <x v="100"/>
    <x v="1"/>
    <x v="3"/>
  </r>
  <r>
    <x v="282"/>
    <x v="283"/>
    <x v="1"/>
    <x v="2"/>
    <x v="113"/>
    <x v="1"/>
    <x v="145"/>
    <x v="113"/>
    <x v="1"/>
    <x v="1"/>
  </r>
  <r>
    <x v="283"/>
    <x v="284"/>
    <x v="2"/>
    <x v="0"/>
    <x v="122"/>
    <x v="2"/>
    <x v="247"/>
    <x v="131"/>
    <x v="1"/>
    <x v="4"/>
  </r>
  <r>
    <x v="284"/>
    <x v="285"/>
    <x v="3"/>
    <x v="1"/>
    <x v="131"/>
    <x v="0"/>
    <x v="69"/>
    <x v="125"/>
    <x v="1"/>
    <x v="2"/>
  </r>
  <r>
    <x v="285"/>
    <x v="286"/>
    <x v="0"/>
    <x v="2"/>
    <x v="140"/>
    <x v="1"/>
    <x v="176"/>
    <x v="140"/>
    <x v="1"/>
    <x v="0"/>
  </r>
  <r>
    <x v="286"/>
    <x v="287"/>
    <x v="4"/>
    <x v="0"/>
    <x v="149"/>
    <x v="2"/>
    <x v="293"/>
    <x v="158"/>
    <x v="0"/>
    <x v="3"/>
  </r>
  <r>
    <x v="287"/>
    <x v="288"/>
    <x v="1"/>
    <x v="1"/>
    <x v="158"/>
    <x v="0"/>
    <x v="88"/>
    <x v="150"/>
    <x v="1"/>
    <x v="1"/>
  </r>
  <r>
    <x v="288"/>
    <x v="289"/>
    <x v="2"/>
    <x v="2"/>
    <x v="167"/>
    <x v="1"/>
    <x v="212"/>
    <x v="167"/>
    <x v="1"/>
    <x v="4"/>
  </r>
  <r>
    <x v="289"/>
    <x v="290"/>
    <x v="3"/>
    <x v="0"/>
    <x v="176"/>
    <x v="2"/>
    <x v="346"/>
    <x v="185"/>
    <x v="1"/>
    <x v="2"/>
  </r>
  <r>
    <x v="290"/>
    <x v="291"/>
    <x v="0"/>
    <x v="1"/>
    <x v="185"/>
    <x v="0"/>
    <x v="105"/>
    <x v="176"/>
    <x v="1"/>
    <x v="0"/>
  </r>
  <r>
    <x v="291"/>
    <x v="292"/>
    <x v="4"/>
    <x v="2"/>
    <x v="194"/>
    <x v="1"/>
    <x v="244"/>
    <x v="194"/>
    <x v="1"/>
    <x v="3"/>
  </r>
  <r>
    <x v="292"/>
    <x v="293"/>
    <x v="1"/>
    <x v="0"/>
    <x v="203"/>
    <x v="2"/>
    <x v="392"/>
    <x v="212"/>
    <x v="1"/>
    <x v="1"/>
  </r>
  <r>
    <x v="293"/>
    <x v="294"/>
    <x v="2"/>
    <x v="1"/>
    <x v="212"/>
    <x v="0"/>
    <x v="122"/>
    <x v="203"/>
    <x v="0"/>
    <x v="4"/>
  </r>
  <r>
    <x v="294"/>
    <x v="295"/>
    <x v="3"/>
    <x v="2"/>
    <x v="221"/>
    <x v="1"/>
    <x v="275"/>
    <x v="222"/>
    <x v="1"/>
    <x v="2"/>
  </r>
  <r>
    <x v="295"/>
    <x v="296"/>
    <x v="0"/>
    <x v="0"/>
    <x v="230"/>
    <x v="2"/>
    <x v="445"/>
    <x v="240"/>
    <x v="1"/>
    <x v="0"/>
  </r>
  <r>
    <x v="296"/>
    <x v="297"/>
    <x v="4"/>
    <x v="1"/>
    <x v="239"/>
    <x v="0"/>
    <x v="134"/>
    <x v="230"/>
    <x v="1"/>
    <x v="3"/>
  </r>
  <r>
    <x v="297"/>
    <x v="298"/>
    <x v="1"/>
    <x v="2"/>
    <x v="248"/>
    <x v="1"/>
    <x v="311"/>
    <x v="250"/>
    <x v="1"/>
    <x v="1"/>
  </r>
  <r>
    <x v="298"/>
    <x v="299"/>
    <x v="2"/>
    <x v="0"/>
    <x v="257"/>
    <x v="2"/>
    <x v="491"/>
    <x v="268"/>
    <x v="1"/>
    <x v="4"/>
  </r>
  <r>
    <x v="299"/>
    <x v="300"/>
    <x v="3"/>
    <x v="1"/>
    <x v="266"/>
    <x v="0"/>
    <x v="158"/>
    <x v="257"/>
    <x v="1"/>
    <x v="2"/>
  </r>
  <r>
    <x v="300"/>
    <x v="301"/>
    <x v="0"/>
    <x v="2"/>
    <x v="275"/>
    <x v="1"/>
    <x v="343"/>
    <x v="278"/>
    <x v="0"/>
    <x v="0"/>
  </r>
  <r>
    <x v="301"/>
    <x v="302"/>
    <x v="4"/>
    <x v="0"/>
    <x v="284"/>
    <x v="2"/>
    <x v="544"/>
    <x v="297"/>
    <x v="1"/>
    <x v="3"/>
  </r>
  <r>
    <x v="302"/>
    <x v="303"/>
    <x v="1"/>
    <x v="1"/>
    <x v="293"/>
    <x v="0"/>
    <x v="168"/>
    <x v="284"/>
    <x v="1"/>
    <x v="1"/>
  </r>
  <r>
    <x v="303"/>
    <x v="304"/>
    <x v="2"/>
    <x v="2"/>
    <x v="302"/>
    <x v="1"/>
    <x v="374"/>
    <x v="307"/>
    <x v="1"/>
    <x v="4"/>
  </r>
  <r>
    <x v="304"/>
    <x v="305"/>
    <x v="3"/>
    <x v="0"/>
    <x v="311"/>
    <x v="2"/>
    <x v="590"/>
    <x v="327"/>
    <x v="1"/>
    <x v="2"/>
  </r>
  <r>
    <x v="305"/>
    <x v="306"/>
    <x v="0"/>
    <x v="1"/>
    <x v="320"/>
    <x v="0"/>
    <x v="187"/>
    <x v="310"/>
    <x v="1"/>
    <x v="0"/>
  </r>
  <r>
    <x v="306"/>
    <x v="307"/>
    <x v="4"/>
    <x v="2"/>
    <x v="329"/>
    <x v="1"/>
    <x v="410"/>
    <x v="334"/>
    <x v="1"/>
    <x v="3"/>
  </r>
  <r>
    <x v="307"/>
    <x v="308"/>
    <x v="1"/>
    <x v="0"/>
    <x v="338"/>
    <x v="2"/>
    <x v="643"/>
    <x v="356"/>
    <x v="0"/>
    <x v="1"/>
  </r>
  <r>
    <x v="308"/>
    <x v="309"/>
    <x v="2"/>
    <x v="1"/>
    <x v="347"/>
    <x v="0"/>
    <x v="204"/>
    <x v="335"/>
    <x v="1"/>
    <x v="4"/>
  </r>
  <r>
    <x v="309"/>
    <x v="310"/>
    <x v="3"/>
    <x v="2"/>
    <x v="356"/>
    <x v="1"/>
    <x v="442"/>
    <x v="361"/>
    <x v="1"/>
    <x v="2"/>
  </r>
  <r>
    <x v="310"/>
    <x v="311"/>
    <x v="0"/>
    <x v="0"/>
    <x v="365"/>
    <x v="2"/>
    <x v="687"/>
    <x v="387"/>
    <x v="1"/>
    <x v="0"/>
  </r>
  <r>
    <x v="311"/>
    <x v="312"/>
    <x v="4"/>
    <x v="1"/>
    <x v="374"/>
    <x v="0"/>
    <x v="221"/>
    <x v="360"/>
    <x v="1"/>
    <x v="3"/>
  </r>
  <r>
    <x v="312"/>
    <x v="313"/>
    <x v="1"/>
    <x v="2"/>
    <x v="383"/>
    <x v="1"/>
    <x v="473"/>
    <x v="388"/>
    <x v="1"/>
    <x v="1"/>
  </r>
  <r>
    <x v="313"/>
    <x v="314"/>
    <x v="2"/>
    <x v="0"/>
    <x v="392"/>
    <x v="2"/>
    <x v="737"/>
    <x v="416"/>
    <x v="1"/>
    <x v="4"/>
  </r>
  <r>
    <x v="314"/>
    <x v="315"/>
    <x v="3"/>
    <x v="1"/>
    <x v="401"/>
    <x v="0"/>
    <x v="233"/>
    <x v="384"/>
    <x v="0"/>
    <x v="2"/>
  </r>
  <r>
    <x v="315"/>
    <x v="316"/>
    <x v="0"/>
    <x v="2"/>
    <x v="410"/>
    <x v="1"/>
    <x v="509"/>
    <x v="415"/>
    <x v="1"/>
    <x v="0"/>
  </r>
  <r>
    <x v="316"/>
    <x v="317"/>
    <x v="4"/>
    <x v="0"/>
    <x v="419"/>
    <x v="2"/>
    <x v="756"/>
    <x v="444"/>
    <x v="1"/>
    <x v="3"/>
  </r>
  <r>
    <x v="317"/>
    <x v="318"/>
    <x v="1"/>
    <x v="1"/>
    <x v="428"/>
    <x v="0"/>
    <x v="257"/>
    <x v="408"/>
    <x v="1"/>
    <x v="1"/>
  </r>
  <r>
    <x v="318"/>
    <x v="319"/>
    <x v="2"/>
    <x v="2"/>
    <x v="437"/>
    <x v="1"/>
    <x v="541"/>
    <x v="441"/>
    <x v="1"/>
    <x v="4"/>
  </r>
  <r>
    <x v="319"/>
    <x v="320"/>
    <x v="3"/>
    <x v="0"/>
    <x v="446"/>
    <x v="2"/>
    <x v="782"/>
    <x v="472"/>
    <x v="1"/>
    <x v="2"/>
  </r>
  <r>
    <x v="320"/>
    <x v="321"/>
    <x v="0"/>
    <x v="1"/>
    <x v="455"/>
    <x v="0"/>
    <x v="267"/>
    <x v="432"/>
    <x v="1"/>
    <x v="0"/>
  </r>
  <r>
    <x v="321"/>
    <x v="322"/>
    <x v="4"/>
    <x v="2"/>
    <x v="464"/>
    <x v="1"/>
    <x v="572"/>
    <x v="467"/>
    <x v="0"/>
    <x v="3"/>
  </r>
  <r>
    <x v="322"/>
    <x v="323"/>
    <x v="1"/>
    <x v="0"/>
    <x v="473"/>
    <x v="2"/>
    <x v="801"/>
    <x v="499"/>
    <x v="1"/>
    <x v="1"/>
  </r>
  <r>
    <x v="323"/>
    <x v="324"/>
    <x v="2"/>
    <x v="1"/>
    <x v="482"/>
    <x v="0"/>
    <x v="286"/>
    <x v="456"/>
    <x v="1"/>
    <x v="4"/>
  </r>
  <r>
    <x v="324"/>
    <x v="325"/>
    <x v="3"/>
    <x v="2"/>
    <x v="491"/>
    <x v="1"/>
    <x v="608"/>
    <x v="493"/>
    <x v="1"/>
    <x v="2"/>
  </r>
  <r>
    <x v="325"/>
    <x v="326"/>
    <x v="0"/>
    <x v="0"/>
    <x v="500"/>
    <x v="2"/>
    <x v="827"/>
    <x v="526"/>
    <x v="1"/>
    <x v="0"/>
  </r>
  <r>
    <x v="326"/>
    <x v="327"/>
    <x v="4"/>
    <x v="1"/>
    <x v="509"/>
    <x v="0"/>
    <x v="303"/>
    <x v="482"/>
    <x v="1"/>
    <x v="3"/>
  </r>
  <r>
    <x v="327"/>
    <x v="328"/>
    <x v="1"/>
    <x v="2"/>
    <x v="518"/>
    <x v="1"/>
    <x v="640"/>
    <x v="519"/>
    <x v="1"/>
    <x v="1"/>
  </r>
  <r>
    <x v="328"/>
    <x v="329"/>
    <x v="2"/>
    <x v="0"/>
    <x v="527"/>
    <x v="2"/>
    <x v="846"/>
    <x v="553"/>
    <x v="0"/>
    <x v="4"/>
  </r>
  <r>
    <x v="329"/>
    <x v="330"/>
    <x v="3"/>
    <x v="1"/>
    <x v="536"/>
    <x v="0"/>
    <x v="320"/>
    <x v="508"/>
    <x v="1"/>
    <x v="2"/>
  </r>
  <r>
    <x v="330"/>
    <x v="331"/>
    <x v="0"/>
    <x v="2"/>
    <x v="545"/>
    <x v="1"/>
    <x v="670"/>
    <x v="545"/>
    <x v="1"/>
    <x v="0"/>
  </r>
  <r>
    <x v="331"/>
    <x v="332"/>
    <x v="4"/>
    <x v="0"/>
    <x v="554"/>
    <x v="2"/>
    <x v="872"/>
    <x v="580"/>
    <x v="1"/>
    <x v="3"/>
  </r>
  <r>
    <x v="332"/>
    <x v="333"/>
    <x v="1"/>
    <x v="1"/>
    <x v="563"/>
    <x v="0"/>
    <x v="332"/>
    <x v="535"/>
    <x v="1"/>
    <x v="1"/>
  </r>
  <r>
    <x v="333"/>
    <x v="334"/>
    <x v="2"/>
    <x v="2"/>
    <x v="572"/>
    <x v="1"/>
    <x v="704"/>
    <x v="571"/>
    <x v="1"/>
    <x v="4"/>
  </r>
  <r>
    <x v="334"/>
    <x v="335"/>
    <x v="3"/>
    <x v="0"/>
    <x v="581"/>
    <x v="2"/>
    <x v="891"/>
    <x v="609"/>
    <x v="1"/>
    <x v="2"/>
  </r>
  <r>
    <x v="335"/>
    <x v="336"/>
    <x v="0"/>
    <x v="1"/>
    <x v="590"/>
    <x v="0"/>
    <x v="356"/>
    <x v="562"/>
    <x v="0"/>
    <x v="0"/>
  </r>
  <r>
    <x v="336"/>
    <x v="337"/>
    <x v="4"/>
    <x v="2"/>
    <x v="599"/>
    <x v="1"/>
    <x v="734"/>
    <x v="598"/>
    <x v="1"/>
    <x v="3"/>
  </r>
  <r>
    <x v="337"/>
    <x v="338"/>
    <x v="1"/>
    <x v="0"/>
    <x v="608"/>
    <x v="2"/>
    <x v="917"/>
    <x v="638"/>
    <x v="1"/>
    <x v="1"/>
  </r>
  <r>
    <x v="338"/>
    <x v="339"/>
    <x v="2"/>
    <x v="1"/>
    <x v="617"/>
    <x v="0"/>
    <x v="366"/>
    <x v="589"/>
    <x v="1"/>
    <x v="4"/>
  </r>
  <r>
    <x v="339"/>
    <x v="340"/>
    <x v="3"/>
    <x v="2"/>
    <x v="626"/>
    <x v="1"/>
    <x v="747"/>
    <x v="625"/>
    <x v="1"/>
    <x v="2"/>
  </r>
  <r>
    <x v="340"/>
    <x v="341"/>
    <x v="0"/>
    <x v="0"/>
    <x v="635"/>
    <x v="2"/>
    <x v="936"/>
    <x v="667"/>
    <x v="1"/>
    <x v="0"/>
  </r>
  <r>
    <x v="341"/>
    <x v="342"/>
    <x v="4"/>
    <x v="1"/>
    <x v="644"/>
    <x v="0"/>
    <x v="385"/>
    <x v="616"/>
    <x v="1"/>
    <x v="3"/>
  </r>
  <r>
    <x v="342"/>
    <x v="343"/>
    <x v="1"/>
    <x v="2"/>
    <x v="653"/>
    <x v="1"/>
    <x v="765"/>
    <x v="652"/>
    <x v="0"/>
    <x v="1"/>
  </r>
  <r>
    <x v="343"/>
    <x v="344"/>
    <x v="2"/>
    <x v="0"/>
    <x v="662"/>
    <x v="2"/>
    <x v="962"/>
    <x v="697"/>
    <x v="1"/>
    <x v="4"/>
  </r>
  <r>
    <x v="344"/>
    <x v="345"/>
    <x v="3"/>
    <x v="1"/>
    <x v="671"/>
    <x v="0"/>
    <x v="402"/>
    <x v="642"/>
    <x v="1"/>
    <x v="2"/>
  </r>
  <r>
    <x v="345"/>
    <x v="346"/>
    <x v="0"/>
    <x v="2"/>
    <x v="680"/>
    <x v="1"/>
    <x v="779"/>
    <x v="679"/>
    <x v="1"/>
    <x v="0"/>
  </r>
  <r>
    <x v="346"/>
    <x v="347"/>
    <x v="4"/>
    <x v="0"/>
    <x v="689"/>
    <x v="2"/>
    <x v="981"/>
    <x v="724"/>
    <x v="1"/>
    <x v="3"/>
  </r>
  <r>
    <x v="347"/>
    <x v="348"/>
    <x v="1"/>
    <x v="1"/>
    <x v="698"/>
    <x v="0"/>
    <x v="419"/>
    <x v="668"/>
    <x v="1"/>
    <x v="1"/>
  </r>
  <r>
    <x v="348"/>
    <x v="349"/>
    <x v="2"/>
    <x v="2"/>
    <x v="707"/>
    <x v="1"/>
    <x v="792"/>
    <x v="706"/>
    <x v="1"/>
    <x v="4"/>
  </r>
  <r>
    <x v="349"/>
    <x v="350"/>
    <x v="3"/>
    <x v="0"/>
    <x v="716"/>
    <x v="2"/>
    <x v="1006"/>
    <x v="751"/>
    <x v="0"/>
    <x v="2"/>
  </r>
  <r>
    <x v="350"/>
    <x v="351"/>
    <x v="0"/>
    <x v="1"/>
    <x v="725"/>
    <x v="0"/>
    <x v="431"/>
    <x v="693"/>
    <x v="1"/>
    <x v="0"/>
  </r>
  <r>
    <x v="351"/>
    <x v="352"/>
    <x v="4"/>
    <x v="2"/>
    <x v="734"/>
    <x v="1"/>
    <x v="810"/>
    <x v="733"/>
    <x v="1"/>
    <x v="3"/>
  </r>
  <r>
    <x v="352"/>
    <x v="353"/>
    <x v="1"/>
    <x v="0"/>
    <x v="743"/>
    <x v="2"/>
    <x v="1024"/>
    <x v="778"/>
    <x v="1"/>
    <x v="1"/>
  </r>
  <r>
    <x v="353"/>
    <x v="354"/>
    <x v="2"/>
    <x v="1"/>
    <x v="752"/>
    <x v="0"/>
    <x v="455"/>
    <x v="718"/>
    <x v="1"/>
    <x v="4"/>
  </r>
  <r>
    <x v="354"/>
    <x v="355"/>
    <x v="3"/>
    <x v="2"/>
    <x v="761"/>
    <x v="1"/>
    <x v="824"/>
    <x v="760"/>
    <x v="1"/>
    <x v="2"/>
  </r>
  <r>
    <x v="355"/>
    <x v="356"/>
    <x v="0"/>
    <x v="0"/>
    <x v="770"/>
    <x v="2"/>
    <x v="1048"/>
    <x v="805"/>
    <x v="1"/>
    <x v="0"/>
  </r>
  <r>
    <x v="356"/>
    <x v="357"/>
    <x v="4"/>
    <x v="1"/>
    <x v="779"/>
    <x v="0"/>
    <x v="465"/>
    <x v="743"/>
    <x v="0"/>
    <x v="3"/>
  </r>
  <r>
    <x v="357"/>
    <x v="358"/>
    <x v="1"/>
    <x v="2"/>
    <x v="788"/>
    <x v="1"/>
    <x v="837"/>
    <x v="788"/>
    <x v="1"/>
    <x v="1"/>
  </r>
  <r>
    <x v="358"/>
    <x v="359"/>
    <x v="2"/>
    <x v="0"/>
    <x v="797"/>
    <x v="2"/>
    <x v="1066"/>
    <x v="832"/>
    <x v="1"/>
    <x v="4"/>
  </r>
  <r>
    <x v="359"/>
    <x v="360"/>
    <x v="3"/>
    <x v="1"/>
    <x v="806"/>
    <x v="0"/>
    <x v="484"/>
    <x v="769"/>
    <x v="1"/>
    <x v="2"/>
  </r>
  <r>
    <x v="360"/>
    <x v="361"/>
    <x v="0"/>
    <x v="2"/>
    <x v="815"/>
    <x v="1"/>
    <x v="855"/>
    <x v="816"/>
    <x v="1"/>
    <x v="0"/>
  </r>
  <r>
    <x v="361"/>
    <x v="362"/>
    <x v="4"/>
    <x v="0"/>
    <x v="824"/>
    <x v="2"/>
    <x v="1076"/>
    <x v="860"/>
    <x v="1"/>
    <x v="3"/>
  </r>
  <r>
    <x v="362"/>
    <x v="363"/>
    <x v="1"/>
    <x v="1"/>
    <x v="833"/>
    <x v="0"/>
    <x v="501"/>
    <x v="796"/>
    <x v="1"/>
    <x v="1"/>
  </r>
  <r>
    <x v="363"/>
    <x v="364"/>
    <x v="2"/>
    <x v="2"/>
    <x v="842"/>
    <x v="1"/>
    <x v="869"/>
    <x v="844"/>
    <x v="0"/>
    <x v="4"/>
  </r>
  <r>
    <x v="364"/>
    <x v="0"/>
    <x v="3"/>
    <x v="0"/>
    <x v="851"/>
    <x v="2"/>
    <x v="1085"/>
    <x v="889"/>
    <x v="1"/>
    <x v="2"/>
  </r>
  <r>
    <x v="365"/>
    <x v="1"/>
    <x v="0"/>
    <x v="1"/>
    <x v="860"/>
    <x v="0"/>
    <x v="518"/>
    <x v="823"/>
    <x v="1"/>
    <x v="0"/>
  </r>
  <r>
    <x v="366"/>
    <x v="2"/>
    <x v="4"/>
    <x v="2"/>
    <x v="869"/>
    <x v="1"/>
    <x v="882"/>
    <x v="873"/>
    <x v="1"/>
    <x v="3"/>
  </r>
  <r>
    <x v="367"/>
    <x v="3"/>
    <x v="1"/>
    <x v="0"/>
    <x v="878"/>
    <x v="2"/>
    <x v="1094"/>
    <x v="918"/>
    <x v="1"/>
    <x v="1"/>
  </r>
  <r>
    <x v="368"/>
    <x v="4"/>
    <x v="2"/>
    <x v="1"/>
    <x v="887"/>
    <x v="0"/>
    <x v="530"/>
    <x v="850"/>
    <x v="1"/>
    <x v="4"/>
  </r>
  <r>
    <x v="369"/>
    <x v="5"/>
    <x v="3"/>
    <x v="2"/>
    <x v="896"/>
    <x v="1"/>
    <x v="900"/>
    <x v="900"/>
    <x v="1"/>
    <x v="2"/>
  </r>
  <r>
    <x v="370"/>
    <x v="6"/>
    <x v="0"/>
    <x v="0"/>
    <x v="905"/>
    <x v="2"/>
    <x v="1103"/>
    <x v="948"/>
    <x v="0"/>
    <x v="0"/>
  </r>
  <r>
    <x v="371"/>
    <x v="7"/>
    <x v="4"/>
    <x v="1"/>
    <x v="914"/>
    <x v="0"/>
    <x v="554"/>
    <x v="876"/>
    <x v="1"/>
    <x v="3"/>
  </r>
  <r>
    <x v="372"/>
    <x v="8"/>
    <x v="1"/>
    <x v="2"/>
    <x v="923"/>
    <x v="1"/>
    <x v="914"/>
    <x v="928"/>
    <x v="1"/>
    <x v="1"/>
  </r>
  <r>
    <x v="373"/>
    <x v="9"/>
    <x v="2"/>
    <x v="0"/>
    <x v="932"/>
    <x v="2"/>
    <x v="1112"/>
    <x v="979"/>
    <x v="1"/>
    <x v="4"/>
  </r>
  <r>
    <x v="374"/>
    <x v="10"/>
    <x v="3"/>
    <x v="1"/>
    <x v="941"/>
    <x v="0"/>
    <x v="564"/>
    <x v="901"/>
    <x v="1"/>
    <x v="2"/>
  </r>
  <r>
    <x v="375"/>
    <x v="11"/>
    <x v="0"/>
    <x v="2"/>
    <x v="950"/>
    <x v="1"/>
    <x v="927"/>
    <x v="956"/>
    <x v="1"/>
    <x v="0"/>
  </r>
  <r>
    <x v="376"/>
    <x v="12"/>
    <x v="4"/>
    <x v="0"/>
    <x v="959"/>
    <x v="2"/>
    <x v="1121"/>
    <x v="1008"/>
    <x v="1"/>
    <x v="3"/>
  </r>
  <r>
    <x v="377"/>
    <x v="13"/>
    <x v="1"/>
    <x v="1"/>
    <x v="968"/>
    <x v="0"/>
    <x v="583"/>
    <x v="927"/>
    <x v="0"/>
    <x v="1"/>
  </r>
  <r>
    <x v="378"/>
    <x v="14"/>
    <x v="2"/>
    <x v="2"/>
    <x v="977"/>
    <x v="1"/>
    <x v="945"/>
    <x v="983"/>
    <x v="1"/>
    <x v="4"/>
  </r>
  <r>
    <x v="379"/>
    <x v="15"/>
    <x v="3"/>
    <x v="0"/>
    <x v="986"/>
    <x v="2"/>
    <x v="1130"/>
    <x v="1036"/>
    <x v="1"/>
    <x v="2"/>
  </r>
  <r>
    <x v="380"/>
    <x v="16"/>
    <x v="0"/>
    <x v="1"/>
    <x v="995"/>
    <x v="0"/>
    <x v="600"/>
    <x v="952"/>
    <x v="1"/>
    <x v="0"/>
  </r>
  <r>
    <x v="381"/>
    <x v="17"/>
    <x v="4"/>
    <x v="2"/>
    <x v="1004"/>
    <x v="1"/>
    <x v="959"/>
    <x v="1009"/>
    <x v="1"/>
    <x v="3"/>
  </r>
  <r>
    <x v="382"/>
    <x v="18"/>
    <x v="1"/>
    <x v="0"/>
    <x v="1013"/>
    <x v="2"/>
    <x v="1139"/>
    <x v="1063"/>
    <x v="1"/>
    <x v="1"/>
  </r>
  <r>
    <x v="383"/>
    <x v="19"/>
    <x v="2"/>
    <x v="1"/>
    <x v="1022"/>
    <x v="0"/>
    <x v="617"/>
    <x v="976"/>
    <x v="1"/>
    <x v="4"/>
  </r>
  <r>
    <x v="384"/>
    <x v="20"/>
    <x v="3"/>
    <x v="2"/>
    <x v="1031"/>
    <x v="1"/>
    <x v="972"/>
    <x v="1035"/>
    <x v="0"/>
    <x v="2"/>
  </r>
  <r>
    <x v="385"/>
    <x v="21"/>
    <x v="0"/>
    <x v="0"/>
    <x v="1040"/>
    <x v="2"/>
    <x v="1148"/>
    <x v="1089"/>
    <x v="1"/>
    <x v="0"/>
  </r>
  <r>
    <x v="386"/>
    <x v="22"/>
    <x v="4"/>
    <x v="1"/>
    <x v="1049"/>
    <x v="0"/>
    <x v="629"/>
    <x v="1000"/>
    <x v="1"/>
    <x v="3"/>
  </r>
  <r>
    <x v="387"/>
    <x v="23"/>
    <x v="1"/>
    <x v="2"/>
    <x v="1058"/>
    <x v="1"/>
    <x v="990"/>
    <x v="1060"/>
    <x v="1"/>
    <x v="1"/>
  </r>
  <r>
    <x v="388"/>
    <x v="24"/>
    <x v="2"/>
    <x v="0"/>
    <x v="1067"/>
    <x v="2"/>
    <x v="1157"/>
    <x v="1114"/>
    <x v="1"/>
    <x v="4"/>
  </r>
  <r>
    <x v="389"/>
    <x v="25"/>
    <x v="3"/>
    <x v="1"/>
    <x v="1076"/>
    <x v="0"/>
    <x v="653"/>
    <x v="1024"/>
    <x v="1"/>
    <x v="2"/>
  </r>
  <r>
    <x v="390"/>
    <x v="26"/>
    <x v="0"/>
    <x v="2"/>
    <x v="1084"/>
    <x v="1"/>
    <x v="1003"/>
    <x v="1084"/>
    <x v="1"/>
    <x v="0"/>
  </r>
  <r>
    <x v="391"/>
    <x v="27"/>
    <x v="4"/>
    <x v="0"/>
    <x v="1092"/>
    <x v="2"/>
    <x v="1165"/>
    <x v="1138"/>
    <x v="0"/>
    <x v="3"/>
  </r>
  <r>
    <x v="392"/>
    <x v="28"/>
    <x v="1"/>
    <x v="1"/>
    <x v="1100"/>
    <x v="0"/>
    <x v="662"/>
    <x v="1047"/>
    <x v="1"/>
    <x v="1"/>
  </r>
  <r>
    <x v="393"/>
    <x v="29"/>
    <x v="2"/>
    <x v="2"/>
    <x v="1108"/>
    <x v="1"/>
    <x v="1015"/>
    <x v="1108"/>
    <x v="1"/>
    <x v="4"/>
  </r>
  <r>
    <x v="394"/>
    <x v="30"/>
    <x v="3"/>
    <x v="0"/>
    <x v="1116"/>
    <x v="2"/>
    <x v="1173"/>
    <x v="1162"/>
    <x v="1"/>
    <x v="2"/>
  </r>
  <r>
    <x v="395"/>
    <x v="31"/>
    <x v="0"/>
    <x v="1"/>
    <x v="1124"/>
    <x v="0"/>
    <x v="680"/>
    <x v="1072"/>
    <x v="1"/>
    <x v="0"/>
  </r>
  <r>
    <x v="396"/>
    <x v="32"/>
    <x v="4"/>
    <x v="2"/>
    <x v="1132"/>
    <x v="1"/>
    <x v="1032"/>
    <x v="1131"/>
    <x v="1"/>
    <x v="3"/>
  </r>
  <r>
    <x v="397"/>
    <x v="33"/>
    <x v="1"/>
    <x v="0"/>
    <x v="1140"/>
    <x v="2"/>
    <x v="1181"/>
    <x v="1178"/>
    <x v="1"/>
    <x v="1"/>
  </r>
  <r>
    <x v="398"/>
    <x v="34"/>
    <x v="2"/>
    <x v="1"/>
    <x v="1148"/>
    <x v="0"/>
    <x v="696"/>
    <x v="1097"/>
    <x v="0"/>
    <x v="4"/>
  </r>
  <r>
    <x v="399"/>
    <x v="35"/>
    <x v="3"/>
    <x v="2"/>
    <x v="1156"/>
    <x v="1"/>
    <x v="1045"/>
    <x v="1154"/>
    <x v="1"/>
    <x v="2"/>
  </r>
  <r>
    <x v="400"/>
    <x v="36"/>
    <x v="0"/>
    <x v="0"/>
    <x v="1164"/>
    <x v="2"/>
    <x v="1189"/>
    <x v="1187"/>
    <x v="1"/>
    <x v="0"/>
  </r>
  <r>
    <x v="401"/>
    <x v="37"/>
    <x v="4"/>
    <x v="1"/>
    <x v="1172"/>
    <x v="0"/>
    <x v="712"/>
    <x v="1122"/>
    <x v="1"/>
    <x v="3"/>
  </r>
  <r>
    <x v="402"/>
    <x v="38"/>
    <x v="1"/>
    <x v="2"/>
    <x v="1180"/>
    <x v="1"/>
    <x v="1057"/>
    <x v="1170"/>
    <x v="1"/>
    <x v="1"/>
  </r>
  <r>
    <x v="403"/>
    <x v="39"/>
    <x v="2"/>
    <x v="0"/>
    <x v="1188"/>
    <x v="2"/>
    <x v="1197"/>
    <x v="1195"/>
    <x v="1"/>
    <x v="4"/>
  </r>
  <r>
    <x v="404"/>
    <x v="40"/>
    <x v="3"/>
    <x v="1"/>
    <x v="1196"/>
    <x v="0"/>
    <x v="723"/>
    <x v="1146"/>
    <x v="1"/>
    <x v="2"/>
  </r>
  <r>
    <x v="405"/>
    <x v="41"/>
    <x v="0"/>
    <x v="2"/>
    <x v="4"/>
    <x v="1"/>
    <x v="13"/>
    <x v="4"/>
    <x v="0"/>
    <x v="0"/>
  </r>
  <r>
    <x v="406"/>
    <x v="42"/>
    <x v="4"/>
    <x v="0"/>
    <x v="13"/>
    <x v="2"/>
    <x v="47"/>
    <x v="14"/>
    <x v="1"/>
    <x v="3"/>
  </r>
  <r>
    <x v="407"/>
    <x v="43"/>
    <x v="1"/>
    <x v="1"/>
    <x v="22"/>
    <x v="0"/>
    <x v="5"/>
    <x v="22"/>
    <x v="1"/>
    <x v="1"/>
  </r>
  <r>
    <x v="408"/>
    <x v="44"/>
    <x v="2"/>
    <x v="2"/>
    <x v="31"/>
    <x v="1"/>
    <x v="45"/>
    <x v="31"/>
    <x v="1"/>
    <x v="4"/>
  </r>
  <r>
    <x v="409"/>
    <x v="45"/>
    <x v="3"/>
    <x v="0"/>
    <x v="40"/>
    <x v="2"/>
    <x v="94"/>
    <x v="43"/>
    <x v="1"/>
    <x v="2"/>
  </r>
  <r>
    <x v="410"/>
    <x v="46"/>
    <x v="0"/>
    <x v="1"/>
    <x v="49"/>
    <x v="0"/>
    <x v="22"/>
    <x v="48"/>
    <x v="1"/>
    <x v="0"/>
  </r>
  <r>
    <x v="411"/>
    <x v="47"/>
    <x v="4"/>
    <x v="2"/>
    <x v="58"/>
    <x v="1"/>
    <x v="76"/>
    <x v="58"/>
    <x v="1"/>
    <x v="3"/>
  </r>
  <r>
    <x v="412"/>
    <x v="48"/>
    <x v="1"/>
    <x v="0"/>
    <x v="67"/>
    <x v="2"/>
    <x v="146"/>
    <x v="72"/>
    <x v="0"/>
    <x v="1"/>
  </r>
  <r>
    <x v="413"/>
    <x v="49"/>
    <x v="2"/>
    <x v="1"/>
    <x v="76"/>
    <x v="0"/>
    <x v="34"/>
    <x v="73"/>
    <x v="1"/>
    <x v="4"/>
  </r>
  <r>
    <x v="414"/>
    <x v="50"/>
    <x v="3"/>
    <x v="2"/>
    <x v="85"/>
    <x v="1"/>
    <x v="112"/>
    <x v="85"/>
    <x v="1"/>
    <x v="2"/>
  </r>
  <r>
    <x v="415"/>
    <x v="51"/>
    <x v="0"/>
    <x v="0"/>
    <x v="94"/>
    <x v="2"/>
    <x v="193"/>
    <x v="101"/>
    <x v="1"/>
    <x v="0"/>
  </r>
  <r>
    <x v="416"/>
    <x v="52"/>
    <x v="4"/>
    <x v="1"/>
    <x v="103"/>
    <x v="0"/>
    <x v="58"/>
    <x v="98"/>
    <x v="1"/>
    <x v="3"/>
  </r>
  <r>
    <x v="417"/>
    <x v="53"/>
    <x v="1"/>
    <x v="2"/>
    <x v="112"/>
    <x v="1"/>
    <x v="144"/>
    <x v="112"/>
    <x v="1"/>
    <x v="1"/>
  </r>
  <r>
    <x v="418"/>
    <x v="54"/>
    <x v="2"/>
    <x v="0"/>
    <x v="121"/>
    <x v="2"/>
    <x v="245"/>
    <x v="130"/>
    <x v="1"/>
    <x v="4"/>
  </r>
  <r>
    <x v="419"/>
    <x v="55"/>
    <x v="3"/>
    <x v="1"/>
    <x v="130"/>
    <x v="0"/>
    <x v="68"/>
    <x v="123"/>
    <x v="0"/>
    <x v="2"/>
  </r>
  <r>
    <x v="420"/>
    <x v="56"/>
    <x v="0"/>
    <x v="2"/>
    <x v="139"/>
    <x v="1"/>
    <x v="175"/>
    <x v="139"/>
    <x v="1"/>
    <x v="0"/>
  </r>
  <r>
    <x v="421"/>
    <x v="57"/>
    <x v="4"/>
    <x v="0"/>
    <x v="148"/>
    <x v="2"/>
    <x v="292"/>
    <x v="157"/>
    <x v="1"/>
    <x v="3"/>
  </r>
  <r>
    <x v="422"/>
    <x v="58"/>
    <x v="1"/>
    <x v="1"/>
    <x v="157"/>
    <x v="0"/>
    <x v="87"/>
    <x v="148"/>
    <x v="1"/>
    <x v="1"/>
  </r>
  <r>
    <x v="423"/>
    <x v="59"/>
    <x v="2"/>
    <x v="2"/>
    <x v="166"/>
    <x v="1"/>
    <x v="211"/>
    <x v="166"/>
    <x v="1"/>
    <x v="4"/>
  </r>
  <r>
    <x v="424"/>
    <x v="60"/>
    <x v="3"/>
    <x v="0"/>
    <x v="175"/>
    <x v="2"/>
    <x v="344"/>
    <x v="184"/>
    <x v="1"/>
    <x v="2"/>
  </r>
  <r>
    <x v="425"/>
    <x v="61"/>
    <x v="0"/>
    <x v="1"/>
    <x v="184"/>
    <x v="0"/>
    <x v="104"/>
    <x v="175"/>
    <x v="1"/>
    <x v="0"/>
  </r>
  <r>
    <x v="426"/>
    <x v="62"/>
    <x v="4"/>
    <x v="2"/>
    <x v="193"/>
    <x v="1"/>
    <x v="243"/>
    <x v="193"/>
    <x v="0"/>
    <x v="3"/>
  </r>
  <r>
    <x v="427"/>
    <x v="63"/>
    <x v="1"/>
    <x v="0"/>
    <x v="202"/>
    <x v="2"/>
    <x v="391"/>
    <x v="211"/>
    <x v="1"/>
    <x v="1"/>
  </r>
  <r>
    <x v="428"/>
    <x v="64"/>
    <x v="2"/>
    <x v="1"/>
    <x v="211"/>
    <x v="0"/>
    <x v="121"/>
    <x v="202"/>
    <x v="1"/>
    <x v="4"/>
  </r>
  <r>
    <x v="429"/>
    <x v="65"/>
    <x v="3"/>
    <x v="2"/>
    <x v="220"/>
    <x v="1"/>
    <x v="274"/>
    <x v="220"/>
    <x v="1"/>
    <x v="2"/>
  </r>
  <r>
    <x v="430"/>
    <x v="66"/>
    <x v="0"/>
    <x v="0"/>
    <x v="229"/>
    <x v="2"/>
    <x v="443"/>
    <x v="238"/>
    <x v="1"/>
    <x v="0"/>
  </r>
  <r>
    <x v="431"/>
    <x v="67"/>
    <x v="4"/>
    <x v="1"/>
    <x v="238"/>
    <x v="0"/>
    <x v="133"/>
    <x v="229"/>
    <x v="1"/>
    <x v="3"/>
  </r>
  <r>
    <x v="432"/>
    <x v="68"/>
    <x v="1"/>
    <x v="2"/>
    <x v="247"/>
    <x v="1"/>
    <x v="310"/>
    <x v="248"/>
    <x v="1"/>
    <x v="1"/>
  </r>
  <r>
    <x v="433"/>
    <x v="69"/>
    <x v="2"/>
    <x v="0"/>
    <x v="256"/>
    <x v="2"/>
    <x v="490"/>
    <x v="266"/>
    <x v="0"/>
    <x v="4"/>
  </r>
  <r>
    <x v="434"/>
    <x v="70"/>
    <x v="3"/>
    <x v="1"/>
    <x v="265"/>
    <x v="0"/>
    <x v="157"/>
    <x v="256"/>
    <x v="1"/>
    <x v="2"/>
  </r>
  <r>
    <x v="435"/>
    <x v="71"/>
    <x v="0"/>
    <x v="2"/>
    <x v="274"/>
    <x v="1"/>
    <x v="342"/>
    <x v="276"/>
    <x v="1"/>
    <x v="0"/>
  </r>
  <r>
    <x v="436"/>
    <x v="72"/>
    <x v="4"/>
    <x v="0"/>
    <x v="283"/>
    <x v="2"/>
    <x v="542"/>
    <x v="294"/>
    <x v="1"/>
    <x v="3"/>
  </r>
  <r>
    <x v="437"/>
    <x v="73"/>
    <x v="1"/>
    <x v="1"/>
    <x v="292"/>
    <x v="0"/>
    <x v="167"/>
    <x v="282"/>
    <x v="1"/>
    <x v="1"/>
  </r>
  <r>
    <x v="438"/>
    <x v="74"/>
    <x v="2"/>
    <x v="2"/>
    <x v="301"/>
    <x v="1"/>
    <x v="373"/>
    <x v="304"/>
    <x v="1"/>
    <x v="4"/>
  </r>
  <r>
    <x v="439"/>
    <x v="75"/>
    <x v="3"/>
    <x v="0"/>
    <x v="310"/>
    <x v="2"/>
    <x v="589"/>
    <x v="324"/>
    <x v="1"/>
    <x v="2"/>
  </r>
  <r>
    <x v="440"/>
    <x v="76"/>
    <x v="0"/>
    <x v="1"/>
    <x v="319"/>
    <x v="0"/>
    <x v="186"/>
    <x v="308"/>
    <x v="0"/>
    <x v="0"/>
  </r>
  <r>
    <x v="441"/>
    <x v="77"/>
    <x v="4"/>
    <x v="2"/>
    <x v="328"/>
    <x v="1"/>
    <x v="409"/>
    <x v="331"/>
    <x v="1"/>
    <x v="3"/>
  </r>
  <r>
    <x v="442"/>
    <x v="78"/>
    <x v="1"/>
    <x v="0"/>
    <x v="337"/>
    <x v="2"/>
    <x v="641"/>
    <x v="353"/>
    <x v="1"/>
    <x v="1"/>
  </r>
  <r>
    <x v="443"/>
    <x v="79"/>
    <x v="2"/>
    <x v="1"/>
    <x v="346"/>
    <x v="0"/>
    <x v="203"/>
    <x v="333"/>
    <x v="1"/>
    <x v="4"/>
  </r>
  <r>
    <x v="444"/>
    <x v="80"/>
    <x v="3"/>
    <x v="2"/>
    <x v="355"/>
    <x v="1"/>
    <x v="441"/>
    <x v="358"/>
    <x v="1"/>
    <x v="2"/>
  </r>
  <r>
    <x v="445"/>
    <x v="81"/>
    <x v="0"/>
    <x v="0"/>
    <x v="364"/>
    <x v="2"/>
    <x v="686"/>
    <x v="383"/>
    <x v="1"/>
    <x v="0"/>
  </r>
  <r>
    <x v="446"/>
    <x v="82"/>
    <x v="4"/>
    <x v="1"/>
    <x v="373"/>
    <x v="0"/>
    <x v="220"/>
    <x v="357"/>
    <x v="1"/>
    <x v="3"/>
  </r>
  <r>
    <x v="447"/>
    <x v="83"/>
    <x v="1"/>
    <x v="2"/>
    <x v="382"/>
    <x v="1"/>
    <x v="472"/>
    <x v="385"/>
    <x v="0"/>
    <x v="1"/>
  </r>
  <r>
    <x v="448"/>
    <x v="84"/>
    <x v="2"/>
    <x v="0"/>
    <x v="391"/>
    <x v="2"/>
    <x v="735"/>
    <x v="414"/>
    <x v="1"/>
    <x v="4"/>
  </r>
  <r>
    <x v="449"/>
    <x v="85"/>
    <x v="3"/>
    <x v="1"/>
    <x v="400"/>
    <x v="0"/>
    <x v="232"/>
    <x v="381"/>
    <x v="1"/>
    <x v="2"/>
  </r>
  <r>
    <x v="450"/>
    <x v="86"/>
    <x v="0"/>
    <x v="2"/>
    <x v="409"/>
    <x v="1"/>
    <x v="508"/>
    <x v="412"/>
    <x v="1"/>
    <x v="0"/>
  </r>
  <r>
    <x v="451"/>
    <x v="87"/>
    <x v="4"/>
    <x v="0"/>
    <x v="418"/>
    <x v="2"/>
    <x v="755"/>
    <x v="442"/>
    <x v="1"/>
    <x v="3"/>
  </r>
  <r>
    <x v="452"/>
    <x v="88"/>
    <x v="1"/>
    <x v="1"/>
    <x v="427"/>
    <x v="0"/>
    <x v="256"/>
    <x v="405"/>
    <x v="1"/>
    <x v="1"/>
  </r>
  <r>
    <x v="453"/>
    <x v="89"/>
    <x v="2"/>
    <x v="2"/>
    <x v="436"/>
    <x v="1"/>
    <x v="540"/>
    <x v="439"/>
    <x v="1"/>
    <x v="4"/>
  </r>
  <r>
    <x v="454"/>
    <x v="90"/>
    <x v="3"/>
    <x v="0"/>
    <x v="445"/>
    <x v="2"/>
    <x v="780"/>
    <x v="470"/>
    <x v="0"/>
    <x v="2"/>
  </r>
  <r>
    <x v="455"/>
    <x v="91"/>
    <x v="0"/>
    <x v="1"/>
    <x v="454"/>
    <x v="0"/>
    <x v="266"/>
    <x v="429"/>
    <x v="1"/>
    <x v="0"/>
  </r>
  <r>
    <x v="456"/>
    <x v="92"/>
    <x v="4"/>
    <x v="2"/>
    <x v="463"/>
    <x v="1"/>
    <x v="571"/>
    <x v="465"/>
    <x v="1"/>
    <x v="3"/>
  </r>
  <r>
    <x v="457"/>
    <x v="93"/>
    <x v="1"/>
    <x v="0"/>
    <x v="472"/>
    <x v="2"/>
    <x v="800"/>
    <x v="498"/>
    <x v="1"/>
    <x v="1"/>
  </r>
  <r>
    <x v="458"/>
    <x v="94"/>
    <x v="2"/>
    <x v="1"/>
    <x v="481"/>
    <x v="0"/>
    <x v="285"/>
    <x v="454"/>
    <x v="1"/>
    <x v="4"/>
  </r>
  <r>
    <x v="459"/>
    <x v="95"/>
    <x v="3"/>
    <x v="2"/>
    <x v="490"/>
    <x v="1"/>
    <x v="607"/>
    <x v="491"/>
    <x v="1"/>
    <x v="2"/>
  </r>
  <r>
    <x v="460"/>
    <x v="96"/>
    <x v="0"/>
    <x v="0"/>
    <x v="499"/>
    <x v="2"/>
    <x v="825"/>
    <x v="525"/>
    <x v="1"/>
    <x v="0"/>
  </r>
  <r>
    <x v="461"/>
    <x v="97"/>
    <x v="4"/>
    <x v="1"/>
    <x v="508"/>
    <x v="0"/>
    <x v="302"/>
    <x v="480"/>
    <x v="0"/>
    <x v="3"/>
  </r>
  <r>
    <x v="462"/>
    <x v="98"/>
    <x v="1"/>
    <x v="2"/>
    <x v="517"/>
    <x v="1"/>
    <x v="639"/>
    <x v="517"/>
    <x v="1"/>
    <x v="1"/>
  </r>
  <r>
    <x v="463"/>
    <x v="99"/>
    <x v="2"/>
    <x v="0"/>
    <x v="526"/>
    <x v="2"/>
    <x v="845"/>
    <x v="552"/>
    <x v="1"/>
    <x v="4"/>
  </r>
  <r>
    <x v="464"/>
    <x v="100"/>
    <x v="3"/>
    <x v="1"/>
    <x v="535"/>
    <x v="0"/>
    <x v="319"/>
    <x v="507"/>
    <x v="1"/>
    <x v="2"/>
  </r>
  <r>
    <x v="465"/>
    <x v="101"/>
    <x v="0"/>
    <x v="2"/>
    <x v="544"/>
    <x v="1"/>
    <x v="669"/>
    <x v="543"/>
    <x v="1"/>
    <x v="0"/>
  </r>
  <r>
    <x v="466"/>
    <x v="102"/>
    <x v="4"/>
    <x v="0"/>
    <x v="553"/>
    <x v="2"/>
    <x v="870"/>
    <x v="579"/>
    <x v="1"/>
    <x v="3"/>
  </r>
  <r>
    <x v="467"/>
    <x v="103"/>
    <x v="1"/>
    <x v="1"/>
    <x v="562"/>
    <x v="0"/>
    <x v="331"/>
    <x v="534"/>
    <x v="1"/>
    <x v="1"/>
  </r>
  <r>
    <x v="468"/>
    <x v="104"/>
    <x v="2"/>
    <x v="2"/>
    <x v="571"/>
    <x v="1"/>
    <x v="703"/>
    <x v="570"/>
    <x v="0"/>
    <x v="4"/>
  </r>
  <r>
    <x v="469"/>
    <x v="105"/>
    <x v="3"/>
    <x v="0"/>
    <x v="580"/>
    <x v="2"/>
    <x v="890"/>
    <x v="607"/>
    <x v="1"/>
    <x v="2"/>
  </r>
  <r>
    <x v="470"/>
    <x v="106"/>
    <x v="0"/>
    <x v="1"/>
    <x v="589"/>
    <x v="0"/>
    <x v="355"/>
    <x v="561"/>
    <x v="1"/>
    <x v="0"/>
  </r>
  <r>
    <x v="471"/>
    <x v="107"/>
    <x v="4"/>
    <x v="2"/>
    <x v="598"/>
    <x v="1"/>
    <x v="733"/>
    <x v="597"/>
    <x v="1"/>
    <x v="3"/>
  </r>
  <r>
    <x v="472"/>
    <x v="108"/>
    <x v="1"/>
    <x v="0"/>
    <x v="607"/>
    <x v="2"/>
    <x v="915"/>
    <x v="636"/>
    <x v="1"/>
    <x v="1"/>
  </r>
  <r>
    <x v="473"/>
    <x v="109"/>
    <x v="2"/>
    <x v="1"/>
    <x v="616"/>
    <x v="0"/>
    <x v="365"/>
    <x v="588"/>
    <x v="1"/>
    <x v="4"/>
  </r>
  <r>
    <x v="474"/>
    <x v="110"/>
    <x v="3"/>
    <x v="2"/>
    <x v="625"/>
    <x v="1"/>
    <x v="746"/>
    <x v="624"/>
    <x v="1"/>
    <x v="2"/>
  </r>
  <r>
    <x v="475"/>
    <x v="111"/>
    <x v="0"/>
    <x v="0"/>
    <x v="634"/>
    <x v="2"/>
    <x v="935"/>
    <x v="665"/>
    <x v="0"/>
    <x v="0"/>
  </r>
  <r>
    <x v="476"/>
    <x v="112"/>
    <x v="4"/>
    <x v="1"/>
    <x v="643"/>
    <x v="0"/>
    <x v="384"/>
    <x v="615"/>
    <x v="1"/>
    <x v="3"/>
  </r>
  <r>
    <x v="477"/>
    <x v="113"/>
    <x v="1"/>
    <x v="2"/>
    <x v="652"/>
    <x v="1"/>
    <x v="764"/>
    <x v="651"/>
    <x v="1"/>
    <x v="1"/>
  </r>
  <r>
    <x v="478"/>
    <x v="114"/>
    <x v="2"/>
    <x v="0"/>
    <x v="661"/>
    <x v="2"/>
    <x v="960"/>
    <x v="694"/>
    <x v="1"/>
    <x v="4"/>
  </r>
  <r>
    <x v="479"/>
    <x v="115"/>
    <x v="3"/>
    <x v="1"/>
    <x v="670"/>
    <x v="0"/>
    <x v="401"/>
    <x v="641"/>
    <x v="1"/>
    <x v="2"/>
  </r>
  <r>
    <x v="480"/>
    <x v="116"/>
    <x v="0"/>
    <x v="2"/>
    <x v="679"/>
    <x v="1"/>
    <x v="778"/>
    <x v="678"/>
    <x v="1"/>
    <x v="0"/>
  </r>
  <r>
    <x v="481"/>
    <x v="117"/>
    <x v="4"/>
    <x v="0"/>
    <x v="688"/>
    <x v="2"/>
    <x v="980"/>
    <x v="723"/>
    <x v="1"/>
    <x v="3"/>
  </r>
  <r>
    <x v="482"/>
    <x v="118"/>
    <x v="1"/>
    <x v="1"/>
    <x v="697"/>
    <x v="0"/>
    <x v="418"/>
    <x v="666"/>
    <x v="0"/>
    <x v="1"/>
  </r>
  <r>
    <x v="483"/>
    <x v="119"/>
    <x v="2"/>
    <x v="2"/>
    <x v="706"/>
    <x v="1"/>
    <x v="791"/>
    <x v="705"/>
    <x v="1"/>
    <x v="4"/>
  </r>
  <r>
    <x v="484"/>
    <x v="120"/>
    <x v="3"/>
    <x v="0"/>
    <x v="715"/>
    <x v="2"/>
    <x v="1004"/>
    <x v="750"/>
    <x v="1"/>
    <x v="2"/>
  </r>
  <r>
    <x v="485"/>
    <x v="121"/>
    <x v="0"/>
    <x v="1"/>
    <x v="724"/>
    <x v="0"/>
    <x v="430"/>
    <x v="691"/>
    <x v="1"/>
    <x v="0"/>
  </r>
  <r>
    <x v="486"/>
    <x v="122"/>
    <x v="4"/>
    <x v="2"/>
    <x v="733"/>
    <x v="1"/>
    <x v="809"/>
    <x v="732"/>
    <x v="1"/>
    <x v="3"/>
  </r>
  <r>
    <x v="487"/>
    <x v="123"/>
    <x v="1"/>
    <x v="0"/>
    <x v="742"/>
    <x v="2"/>
    <x v="1023"/>
    <x v="777"/>
    <x v="1"/>
    <x v="1"/>
  </r>
  <r>
    <x v="488"/>
    <x v="124"/>
    <x v="2"/>
    <x v="1"/>
    <x v="751"/>
    <x v="0"/>
    <x v="454"/>
    <x v="716"/>
    <x v="1"/>
    <x v="4"/>
  </r>
  <r>
    <x v="489"/>
    <x v="125"/>
    <x v="3"/>
    <x v="2"/>
    <x v="760"/>
    <x v="1"/>
    <x v="823"/>
    <x v="759"/>
    <x v="0"/>
    <x v="2"/>
  </r>
  <r>
    <x v="490"/>
    <x v="126"/>
    <x v="0"/>
    <x v="0"/>
    <x v="769"/>
    <x v="2"/>
    <x v="1046"/>
    <x v="804"/>
    <x v="1"/>
    <x v="0"/>
  </r>
  <r>
    <x v="491"/>
    <x v="127"/>
    <x v="4"/>
    <x v="1"/>
    <x v="778"/>
    <x v="0"/>
    <x v="464"/>
    <x v="741"/>
    <x v="1"/>
    <x v="3"/>
  </r>
  <r>
    <x v="492"/>
    <x v="128"/>
    <x v="1"/>
    <x v="2"/>
    <x v="787"/>
    <x v="1"/>
    <x v="836"/>
    <x v="786"/>
    <x v="1"/>
    <x v="1"/>
  </r>
  <r>
    <x v="493"/>
    <x v="129"/>
    <x v="2"/>
    <x v="0"/>
    <x v="796"/>
    <x v="2"/>
    <x v="1065"/>
    <x v="831"/>
    <x v="1"/>
    <x v="4"/>
  </r>
  <r>
    <x v="494"/>
    <x v="130"/>
    <x v="3"/>
    <x v="1"/>
    <x v="805"/>
    <x v="0"/>
    <x v="483"/>
    <x v="768"/>
    <x v="1"/>
    <x v="2"/>
  </r>
  <r>
    <x v="495"/>
    <x v="131"/>
    <x v="0"/>
    <x v="2"/>
    <x v="814"/>
    <x v="1"/>
    <x v="854"/>
    <x v="814"/>
    <x v="1"/>
    <x v="0"/>
  </r>
  <r>
    <x v="496"/>
    <x v="132"/>
    <x v="4"/>
    <x v="0"/>
    <x v="823"/>
    <x v="2"/>
    <x v="1075"/>
    <x v="858"/>
    <x v="0"/>
    <x v="3"/>
  </r>
  <r>
    <x v="497"/>
    <x v="133"/>
    <x v="1"/>
    <x v="1"/>
    <x v="832"/>
    <x v="0"/>
    <x v="500"/>
    <x v="795"/>
    <x v="1"/>
    <x v="1"/>
  </r>
  <r>
    <x v="498"/>
    <x v="134"/>
    <x v="2"/>
    <x v="2"/>
    <x v="841"/>
    <x v="1"/>
    <x v="868"/>
    <x v="842"/>
    <x v="1"/>
    <x v="4"/>
  </r>
  <r>
    <x v="499"/>
    <x v="135"/>
    <x v="3"/>
    <x v="0"/>
    <x v="850"/>
    <x v="2"/>
    <x v="1084"/>
    <x v="886"/>
    <x v="1"/>
    <x v="2"/>
  </r>
  <r>
    <x v="500"/>
    <x v="136"/>
    <x v="0"/>
    <x v="1"/>
    <x v="859"/>
    <x v="0"/>
    <x v="517"/>
    <x v="822"/>
    <x v="1"/>
    <x v="0"/>
  </r>
  <r>
    <x v="501"/>
    <x v="137"/>
    <x v="4"/>
    <x v="2"/>
    <x v="868"/>
    <x v="1"/>
    <x v="881"/>
    <x v="870"/>
    <x v="1"/>
    <x v="3"/>
  </r>
  <r>
    <x v="502"/>
    <x v="138"/>
    <x v="1"/>
    <x v="0"/>
    <x v="877"/>
    <x v="2"/>
    <x v="1093"/>
    <x v="915"/>
    <x v="1"/>
    <x v="1"/>
  </r>
  <r>
    <x v="503"/>
    <x v="139"/>
    <x v="2"/>
    <x v="1"/>
    <x v="886"/>
    <x v="0"/>
    <x v="529"/>
    <x v="848"/>
    <x v="0"/>
    <x v="4"/>
  </r>
  <r>
    <x v="504"/>
    <x v="140"/>
    <x v="3"/>
    <x v="2"/>
    <x v="895"/>
    <x v="1"/>
    <x v="899"/>
    <x v="898"/>
    <x v="1"/>
    <x v="2"/>
  </r>
  <r>
    <x v="505"/>
    <x v="141"/>
    <x v="0"/>
    <x v="0"/>
    <x v="904"/>
    <x v="2"/>
    <x v="1102"/>
    <x v="945"/>
    <x v="1"/>
    <x v="0"/>
  </r>
  <r>
    <x v="506"/>
    <x v="142"/>
    <x v="4"/>
    <x v="1"/>
    <x v="913"/>
    <x v="0"/>
    <x v="553"/>
    <x v="874"/>
    <x v="1"/>
    <x v="3"/>
  </r>
  <r>
    <x v="507"/>
    <x v="143"/>
    <x v="1"/>
    <x v="2"/>
    <x v="922"/>
    <x v="1"/>
    <x v="913"/>
    <x v="926"/>
    <x v="1"/>
    <x v="1"/>
  </r>
  <r>
    <x v="508"/>
    <x v="144"/>
    <x v="2"/>
    <x v="0"/>
    <x v="931"/>
    <x v="2"/>
    <x v="1111"/>
    <x v="975"/>
    <x v="1"/>
    <x v="4"/>
  </r>
  <r>
    <x v="509"/>
    <x v="145"/>
    <x v="3"/>
    <x v="1"/>
    <x v="940"/>
    <x v="0"/>
    <x v="563"/>
    <x v="899"/>
    <x v="1"/>
    <x v="2"/>
  </r>
  <r>
    <x v="510"/>
    <x v="146"/>
    <x v="0"/>
    <x v="2"/>
    <x v="949"/>
    <x v="1"/>
    <x v="926"/>
    <x v="953"/>
    <x v="0"/>
    <x v="0"/>
  </r>
  <r>
    <x v="511"/>
    <x v="147"/>
    <x v="4"/>
    <x v="0"/>
    <x v="958"/>
    <x v="2"/>
    <x v="1120"/>
    <x v="1006"/>
    <x v="1"/>
    <x v="3"/>
  </r>
  <r>
    <x v="512"/>
    <x v="148"/>
    <x v="1"/>
    <x v="1"/>
    <x v="967"/>
    <x v="0"/>
    <x v="582"/>
    <x v="925"/>
    <x v="1"/>
    <x v="1"/>
  </r>
  <r>
    <x v="513"/>
    <x v="149"/>
    <x v="2"/>
    <x v="2"/>
    <x v="976"/>
    <x v="1"/>
    <x v="944"/>
    <x v="980"/>
    <x v="1"/>
    <x v="4"/>
  </r>
  <r>
    <x v="514"/>
    <x v="150"/>
    <x v="3"/>
    <x v="0"/>
    <x v="985"/>
    <x v="2"/>
    <x v="1129"/>
    <x v="1034"/>
    <x v="1"/>
    <x v="2"/>
  </r>
  <r>
    <x v="515"/>
    <x v="151"/>
    <x v="0"/>
    <x v="1"/>
    <x v="994"/>
    <x v="0"/>
    <x v="599"/>
    <x v="949"/>
    <x v="1"/>
    <x v="0"/>
  </r>
  <r>
    <x v="516"/>
    <x v="152"/>
    <x v="4"/>
    <x v="2"/>
    <x v="1003"/>
    <x v="1"/>
    <x v="958"/>
    <x v="1007"/>
    <x v="1"/>
    <x v="3"/>
  </r>
  <r>
    <x v="517"/>
    <x v="153"/>
    <x v="1"/>
    <x v="0"/>
    <x v="1012"/>
    <x v="2"/>
    <x v="1138"/>
    <x v="1061"/>
    <x v="0"/>
    <x v="1"/>
  </r>
  <r>
    <x v="518"/>
    <x v="154"/>
    <x v="2"/>
    <x v="1"/>
    <x v="1021"/>
    <x v="0"/>
    <x v="616"/>
    <x v="973"/>
    <x v="1"/>
    <x v="4"/>
  </r>
  <r>
    <x v="519"/>
    <x v="155"/>
    <x v="3"/>
    <x v="2"/>
    <x v="1030"/>
    <x v="1"/>
    <x v="971"/>
    <x v="1033"/>
    <x v="1"/>
    <x v="2"/>
  </r>
  <r>
    <x v="520"/>
    <x v="156"/>
    <x v="0"/>
    <x v="0"/>
    <x v="1039"/>
    <x v="2"/>
    <x v="1147"/>
    <x v="1087"/>
    <x v="1"/>
    <x v="0"/>
  </r>
  <r>
    <x v="521"/>
    <x v="157"/>
    <x v="4"/>
    <x v="1"/>
    <x v="1048"/>
    <x v="0"/>
    <x v="628"/>
    <x v="997"/>
    <x v="1"/>
    <x v="3"/>
  </r>
  <r>
    <x v="522"/>
    <x v="158"/>
    <x v="1"/>
    <x v="2"/>
    <x v="1057"/>
    <x v="1"/>
    <x v="989"/>
    <x v="1058"/>
    <x v="1"/>
    <x v="1"/>
  </r>
  <r>
    <x v="523"/>
    <x v="159"/>
    <x v="2"/>
    <x v="0"/>
    <x v="1066"/>
    <x v="2"/>
    <x v="1156"/>
    <x v="1113"/>
    <x v="1"/>
    <x v="4"/>
  </r>
  <r>
    <x v="524"/>
    <x v="160"/>
    <x v="3"/>
    <x v="1"/>
    <x v="1075"/>
    <x v="0"/>
    <x v="652"/>
    <x v="1021"/>
    <x v="0"/>
    <x v="2"/>
  </r>
  <r>
    <x v="525"/>
    <x v="161"/>
    <x v="0"/>
    <x v="2"/>
    <x v="1083"/>
    <x v="1"/>
    <x v="1002"/>
    <x v="1082"/>
    <x v="1"/>
    <x v="0"/>
  </r>
  <r>
    <x v="526"/>
    <x v="162"/>
    <x v="4"/>
    <x v="0"/>
    <x v="1091"/>
    <x v="2"/>
    <x v="1164"/>
    <x v="1137"/>
    <x v="1"/>
    <x v="3"/>
  </r>
  <r>
    <x v="527"/>
    <x v="163"/>
    <x v="1"/>
    <x v="1"/>
    <x v="1099"/>
    <x v="0"/>
    <x v="661"/>
    <x v="1045"/>
    <x v="1"/>
    <x v="1"/>
  </r>
  <r>
    <x v="528"/>
    <x v="164"/>
    <x v="2"/>
    <x v="2"/>
    <x v="1107"/>
    <x v="1"/>
    <x v="1014"/>
    <x v="1106"/>
    <x v="1"/>
    <x v="4"/>
  </r>
  <r>
    <x v="529"/>
    <x v="165"/>
    <x v="3"/>
    <x v="0"/>
    <x v="1115"/>
    <x v="2"/>
    <x v="1172"/>
    <x v="1161"/>
    <x v="1"/>
    <x v="2"/>
  </r>
  <r>
    <x v="530"/>
    <x v="166"/>
    <x v="0"/>
    <x v="1"/>
    <x v="1123"/>
    <x v="0"/>
    <x v="679"/>
    <x v="1071"/>
    <x v="1"/>
    <x v="0"/>
  </r>
  <r>
    <x v="531"/>
    <x v="167"/>
    <x v="4"/>
    <x v="2"/>
    <x v="1131"/>
    <x v="1"/>
    <x v="1031"/>
    <x v="1129"/>
    <x v="0"/>
    <x v="3"/>
  </r>
  <r>
    <x v="532"/>
    <x v="168"/>
    <x v="1"/>
    <x v="0"/>
    <x v="1139"/>
    <x v="2"/>
    <x v="1180"/>
    <x v="1177"/>
    <x v="1"/>
    <x v="1"/>
  </r>
  <r>
    <x v="533"/>
    <x v="169"/>
    <x v="2"/>
    <x v="1"/>
    <x v="1147"/>
    <x v="0"/>
    <x v="695"/>
    <x v="1096"/>
    <x v="1"/>
    <x v="4"/>
  </r>
  <r>
    <x v="534"/>
    <x v="170"/>
    <x v="3"/>
    <x v="2"/>
    <x v="1155"/>
    <x v="1"/>
    <x v="1044"/>
    <x v="1153"/>
    <x v="1"/>
    <x v="2"/>
  </r>
  <r>
    <x v="535"/>
    <x v="171"/>
    <x v="0"/>
    <x v="0"/>
    <x v="1163"/>
    <x v="2"/>
    <x v="1188"/>
    <x v="1186"/>
    <x v="1"/>
    <x v="0"/>
  </r>
  <r>
    <x v="536"/>
    <x v="172"/>
    <x v="4"/>
    <x v="1"/>
    <x v="1171"/>
    <x v="0"/>
    <x v="711"/>
    <x v="1121"/>
    <x v="1"/>
    <x v="3"/>
  </r>
  <r>
    <x v="537"/>
    <x v="173"/>
    <x v="1"/>
    <x v="2"/>
    <x v="1179"/>
    <x v="1"/>
    <x v="1056"/>
    <x v="1169"/>
    <x v="1"/>
    <x v="1"/>
  </r>
  <r>
    <x v="538"/>
    <x v="174"/>
    <x v="2"/>
    <x v="0"/>
    <x v="1187"/>
    <x v="2"/>
    <x v="1196"/>
    <x v="1194"/>
    <x v="0"/>
    <x v="4"/>
  </r>
  <r>
    <x v="539"/>
    <x v="175"/>
    <x v="3"/>
    <x v="1"/>
    <x v="1195"/>
    <x v="0"/>
    <x v="722"/>
    <x v="1145"/>
    <x v="1"/>
    <x v="2"/>
  </r>
  <r>
    <x v="540"/>
    <x v="176"/>
    <x v="0"/>
    <x v="2"/>
    <x v="3"/>
    <x v="1"/>
    <x v="12"/>
    <x v="3"/>
    <x v="1"/>
    <x v="0"/>
  </r>
  <r>
    <x v="541"/>
    <x v="177"/>
    <x v="4"/>
    <x v="0"/>
    <x v="12"/>
    <x v="2"/>
    <x v="44"/>
    <x v="12"/>
    <x v="1"/>
    <x v="3"/>
  </r>
  <r>
    <x v="542"/>
    <x v="178"/>
    <x v="1"/>
    <x v="1"/>
    <x v="21"/>
    <x v="0"/>
    <x v="4"/>
    <x v="21"/>
    <x v="1"/>
    <x v="1"/>
  </r>
  <r>
    <x v="543"/>
    <x v="179"/>
    <x v="2"/>
    <x v="2"/>
    <x v="30"/>
    <x v="1"/>
    <x v="43"/>
    <x v="30"/>
    <x v="1"/>
    <x v="4"/>
  </r>
  <r>
    <x v="544"/>
    <x v="180"/>
    <x v="3"/>
    <x v="0"/>
    <x v="39"/>
    <x v="2"/>
    <x v="93"/>
    <x v="41"/>
    <x v="1"/>
    <x v="2"/>
  </r>
  <r>
    <x v="545"/>
    <x v="181"/>
    <x v="0"/>
    <x v="1"/>
    <x v="48"/>
    <x v="0"/>
    <x v="21"/>
    <x v="46"/>
    <x v="0"/>
    <x v="0"/>
  </r>
  <r>
    <x v="546"/>
    <x v="182"/>
    <x v="4"/>
    <x v="2"/>
    <x v="57"/>
    <x v="1"/>
    <x v="75"/>
    <x v="57"/>
    <x v="1"/>
    <x v="3"/>
  </r>
  <r>
    <x v="547"/>
    <x v="183"/>
    <x v="1"/>
    <x v="0"/>
    <x v="66"/>
    <x v="2"/>
    <x v="143"/>
    <x v="70"/>
    <x v="1"/>
    <x v="1"/>
  </r>
  <r>
    <x v="548"/>
    <x v="184"/>
    <x v="2"/>
    <x v="1"/>
    <x v="75"/>
    <x v="0"/>
    <x v="31"/>
    <x v="71"/>
    <x v="1"/>
    <x v="4"/>
  </r>
  <r>
    <x v="549"/>
    <x v="185"/>
    <x v="3"/>
    <x v="2"/>
    <x v="84"/>
    <x v="1"/>
    <x v="111"/>
    <x v="84"/>
    <x v="1"/>
    <x v="2"/>
  </r>
  <r>
    <x v="550"/>
    <x v="186"/>
    <x v="0"/>
    <x v="0"/>
    <x v="93"/>
    <x v="2"/>
    <x v="192"/>
    <x v="99"/>
    <x v="1"/>
    <x v="0"/>
  </r>
  <r>
    <x v="551"/>
    <x v="187"/>
    <x v="4"/>
    <x v="1"/>
    <x v="102"/>
    <x v="0"/>
    <x v="57"/>
    <x v="96"/>
    <x v="1"/>
    <x v="3"/>
  </r>
  <r>
    <x v="552"/>
    <x v="188"/>
    <x v="1"/>
    <x v="2"/>
    <x v="111"/>
    <x v="1"/>
    <x v="142"/>
    <x v="111"/>
    <x v="0"/>
    <x v="1"/>
  </r>
  <r>
    <x v="553"/>
    <x v="189"/>
    <x v="2"/>
    <x v="0"/>
    <x v="120"/>
    <x v="2"/>
    <x v="242"/>
    <x v="128"/>
    <x v="1"/>
    <x v="4"/>
  </r>
  <r>
    <x v="554"/>
    <x v="190"/>
    <x v="3"/>
    <x v="1"/>
    <x v="129"/>
    <x v="0"/>
    <x v="66"/>
    <x v="121"/>
    <x v="1"/>
    <x v="2"/>
  </r>
  <r>
    <x v="555"/>
    <x v="191"/>
    <x v="0"/>
    <x v="2"/>
    <x v="138"/>
    <x v="1"/>
    <x v="174"/>
    <x v="138"/>
    <x v="1"/>
    <x v="0"/>
  </r>
  <r>
    <x v="556"/>
    <x v="192"/>
    <x v="4"/>
    <x v="0"/>
    <x v="147"/>
    <x v="2"/>
    <x v="291"/>
    <x v="156"/>
    <x v="1"/>
    <x v="3"/>
  </r>
  <r>
    <x v="557"/>
    <x v="193"/>
    <x v="1"/>
    <x v="1"/>
    <x v="156"/>
    <x v="0"/>
    <x v="85"/>
    <x v="147"/>
    <x v="1"/>
    <x v="1"/>
  </r>
  <r>
    <x v="558"/>
    <x v="194"/>
    <x v="2"/>
    <x v="2"/>
    <x v="165"/>
    <x v="1"/>
    <x v="210"/>
    <x v="165"/>
    <x v="1"/>
    <x v="4"/>
  </r>
  <r>
    <x v="559"/>
    <x v="195"/>
    <x v="3"/>
    <x v="0"/>
    <x v="174"/>
    <x v="2"/>
    <x v="341"/>
    <x v="183"/>
    <x v="0"/>
    <x v="2"/>
  </r>
  <r>
    <x v="560"/>
    <x v="196"/>
    <x v="0"/>
    <x v="1"/>
    <x v="183"/>
    <x v="0"/>
    <x v="102"/>
    <x v="174"/>
    <x v="1"/>
    <x v="0"/>
  </r>
  <r>
    <x v="561"/>
    <x v="197"/>
    <x v="4"/>
    <x v="2"/>
    <x v="192"/>
    <x v="1"/>
    <x v="241"/>
    <x v="192"/>
    <x v="1"/>
    <x v="3"/>
  </r>
  <r>
    <x v="562"/>
    <x v="198"/>
    <x v="1"/>
    <x v="0"/>
    <x v="201"/>
    <x v="2"/>
    <x v="390"/>
    <x v="210"/>
    <x v="1"/>
    <x v="1"/>
  </r>
  <r>
    <x v="563"/>
    <x v="199"/>
    <x v="2"/>
    <x v="1"/>
    <x v="210"/>
    <x v="0"/>
    <x v="120"/>
    <x v="201"/>
    <x v="1"/>
    <x v="4"/>
  </r>
  <r>
    <x v="564"/>
    <x v="200"/>
    <x v="3"/>
    <x v="2"/>
    <x v="219"/>
    <x v="1"/>
    <x v="273"/>
    <x v="219"/>
    <x v="1"/>
    <x v="2"/>
  </r>
  <r>
    <x v="565"/>
    <x v="201"/>
    <x v="0"/>
    <x v="0"/>
    <x v="228"/>
    <x v="2"/>
    <x v="440"/>
    <x v="237"/>
    <x v="1"/>
    <x v="0"/>
  </r>
  <r>
    <x v="566"/>
    <x v="202"/>
    <x v="4"/>
    <x v="1"/>
    <x v="237"/>
    <x v="0"/>
    <x v="130"/>
    <x v="228"/>
    <x v="0"/>
    <x v="3"/>
  </r>
  <r>
    <x v="567"/>
    <x v="203"/>
    <x v="1"/>
    <x v="2"/>
    <x v="246"/>
    <x v="1"/>
    <x v="309"/>
    <x v="246"/>
    <x v="1"/>
    <x v="1"/>
  </r>
  <r>
    <x v="568"/>
    <x v="204"/>
    <x v="2"/>
    <x v="0"/>
    <x v="255"/>
    <x v="2"/>
    <x v="489"/>
    <x v="264"/>
    <x v="1"/>
    <x v="4"/>
  </r>
  <r>
    <x v="569"/>
    <x v="205"/>
    <x v="3"/>
    <x v="1"/>
    <x v="264"/>
    <x v="0"/>
    <x v="156"/>
    <x v="254"/>
    <x v="1"/>
    <x v="2"/>
  </r>
  <r>
    <x v="570"/>
    <x v="206"/>
    <x v="0"/>
    <x v="2"/>
    <x v="273"/>
    <x v="1"/>
    <x v="340"/>
    <x v="274"/>
    <x v="1"/>
    <x v="0"/>
  </r>
  <r>
    <x v="571"/>
    <x v="207"/>
    <x v="4"/>
    <x v="0"/>
    <x v="282"/>
    <x v="2"/>
    <x v="539"/>
    <x v="292"/>
    <x v="1"/>
    <x v="3"/>
  </r>
  <r>
    <x v="572"/>
    <x v="208"/>
    <x v="1"/>
    <x v="1"/>
    <x v="291"/>
    <x v="0"/>
    <x v="165"/>
    <x v="280"/>
    <x v="1"/>
    <x v="1"/>
  </r>
  <r>
    <x v="573"/>
    <x v="209"/>
    <x v="2"/>
    <x v="2"/>
    <x v="300"/>
    <x v="1"/>
    <x v="372"/>
    <x v="301"/>
    <x v="0"/>
    <x v="4"/>
  </r>
  <r>
    <x v="574"/>
    <x v="210"/>
    <x v="3"/>
    <x v="0"/>
    <x v="309"/>
    <x v="2"/>
    <x v="588"/>
    <x v="321"/>
    <x v="1"/>
    <x v="2"/>
  </r>
  <r>
    <x v="575"/>
    <x v="211"/>
    <x v="0"/>
    <x v="1"/>
    <x v="318"/>
    <x v="0"/>
    <x v="184"/>
    <x v="306"/>
    <x v="1"/>
    <x v="0"/>
  </r>
  <r>
    <x v="576"/>
    <x v="212"/>
    <x v="4"/>
    <x v="2"/>
    <x v="327"/>
    <x v="1"/>
    <x v="408"/>
    <x v="328"/>
    <x v="1"/>
    <x v="3"/>
  </r>
  <r>
    <x v="577"/>
    <x v="213"/>
    <x v="1"/>
    <x v="0"/>
    <x v="336"/>
    <x v="2"/>
    <x v="638"/>
    <x v="350"/>
    <x v="1"/>
    <x v="1"/>
  </r>
  <r>
    <x v="578"/>
    <x v="214"/>
    <x v="2"/>
    <x v="1"/>
    <x v="345"/>
    <x v="0"/>
    <x v="201"/>
    <x v="330"/>
    <x v="1"/>
    <x v="4"/>
  </r>
  <r>
    <x v="579"/>
    <x v="215"/>
    <x v="3"/>
    <x v="2"/>
    <x v="354"/>
    <x v="1"/>
    <x v="439"/>
    <x v="355"/>
    <x v="1"/>
    <x v="2"/>
  </r>
  <r>
    <x v="580"/>
    <x v="216"/>
    <x v="0"/>
    <x v="0"/>
    <x v="363"/>
    <x v="2"/>
    <x v="685"/>
    <x v="380"/>
    <x v="0"/>
    <x v="0"/>
  </r>
  <r>
    <x v="581"/>
    <x v="217"/>
    <x v="4"/>
    <x v="1"/>
    <x v="372"/>
    <x v="0"/>
    <x v="219"/>
    <x v="354"/>
    <x v="1"/>
    <x v="3"/>
  </r>
  <r>
    <x v="582"/>
    <x v="218"/>
    <x v="1"/>
    <x v="2"/>
    <x v="381"/>
    <x v="1"/>
    <x v="471"/>
    <x v="382"/>
    <x v="1"/>
    <x v="1"/>
  </r>
  <r>
    <x v="583"/>
    <x v="219"/>
    <x v="2"/>
    <x v="0"/>
    <x v="390"/>
    <x v="2"/>
    <x v="732"/>
    <x v="410"/>
    <x v="1"/>
    <x v="4"/>
  </r>
  <r>
    <x v="584"/>
    <x v="220"/>
    <x v="3"/>
    <x v="1"/>
    <x v="399"/>
    <x v="0"/>
    <x v="229"/>
    <x v="378"/>
    <x v="1"/>
    <x v="2"/>
  </r>
  <r>
    <x v="585"/>
    <x v="221"/>
    <x v="0"/>
    <x v="2"/>
    <x v="408"/>
    <x v="1"/>
    <x v="507"/>
    <x v="409"/>
    <x v="1"/>
    <x v="0"/>
  </r>
  <r>
    <x v="586"/>
    <x v="222"/>
    <x v="4"/>
    <x v="0"/>
    <x v="417"/>
    <x v="2"/>
    <x v="754"/>
    <x v="440"/>
    <x v="1"/>
    <x v="3"/>
  </r>
  <r>
    <x v="587"/>
    <x v="223"/>
    <x v="1"/>
    <x v="1"/>
    <x v="426"/>
    <x v="0"/>
    <x v="255"/>
    <x v="402"/>
    <x v="0"/>
    <x v="1"/>
  </r>
  <r>
    <x v="588"/>
    <x v="224"/>
    <x v="2"/>
    <x v="2"/>
    <x v="435"/>
    <x v="1"/>
    <x v="538"/>
    <x v="436"/>
    <x v="1"/>
    <x v="4"/>
  </r>
  <r>
    <x v="589"/>
    <x v="225"/>
    <x v="3"/>
    <x v="0"/>
    <x v="444"/>
    <x v="2"/>
    <x v="777"/>
    <x v="468"/>
    <x v="1"/>
    <x v="2"/>
  </r>
  <r>
    <x v="590"/>
    <x v="226"/>
    <x v="0"/>
    <x v="1"/>
    <x v="453"/>
    <x v="0"/>
    <x v="264"/>
    <x v="426"/>
    <x v="1"/>
    <x v="0"/>
  </r>
  <r>
    <x v="591"/>
    <x v="227"/>
    <x v="4"/>
    <x v="2"/>
    <x v="462"/>
    <x v="1"/>
    <x v="570"/>
    <x v="463"/>
    <x v="1"/>
    <x v="3"/>
  </r>
  <r>
    <x v="592"/>
    <x v="228"/>
    <x v="1"/>
    <x v="0"/>
    <x v="471"/>
    <x v="2"/>
    <x v="799"/>
    <x v="496"/>
    <x v="1"/>
    <x v="1"/>
  </r>
  <r>
    <x v="593"/>
    <x v="229"/>
    <x v="2"/>
    <x v="1"/>
    <x v="480"/>
    <x v="0"/>
    <x v="283"/>
    <x v="452"/>
    <x v="1"/>
    <x v="4"/>
  </r>
  <r>
    <x v="594"/>
    <x v="230"/>
    <x v="3"/>
    <x v="2"/>
    <x v="489"/>
    <x v="1"/>
    <x v="606"/>
    <x v="489"/>
    <x v="0"/>
    <x v="2"/>
  </r>
  <r>
    <x v="595"/>
    <x v="231"/>
    <x v="0"/>
    <x v="0"/>
    <x v="498"/>
    <x v="2"/>
    <x v="822"/>
    <x v="524"/>
    <x v="1"/>
    <x v="0"/>
  </r>
  <r>
    <x v="596"/>
    <x v="232"/>
    <x v="4"/>
    <x v="1"/>
    <x v="507"/>
    <x v="0"/>
    <x v="300"/>
    <x v="479"/>
    <x v="1"/>
    <x v="3"/>
  </r>
  <r>
    <x v="597"/>
    <x v="233"/>
    <x v="1"/>
    <x v="2"/>
    <x v="516"/>
    <x v="1"/>
    <x v="637"/>
    <x v="515"/>
    <x v="1"/>
    <x v="1"/>
  </r>
  <r>
    <x v="598"/>
    <x v="234"/>
    <x v="2"/>
    <x v="0"/>
    <x v="525"/>
    <x v="2"/>
    <x v="844"/>
    <x v="551"/>
    <x v="1"/>
    <x v="4"/>
  </r>
  <r>
    <x v="599"/>
    <x v="235"/>
    <x v="3"/>
    <x v="1"/>
    <x v="534"/>
    <x v="0"/>
    <x v="318"/>
    <x v="506"/>
    <x v="1"/>
    <x v="2"/>
  </r>
  <r>
    <x v="600"/>
    <x v="236"/>
    <x v="0"/>
    <x v="2"/>
    <x v="543"/>
    <x v="1"/>
    <x v="668"/>
    <x v="542"/>
    <x v="1"/>
    <x v="0"/>
  </r>
  <r>
    <x v="601"/>
    <x v="237"/>
    <x v="4"/>
    <x v="0"/>
    <x v="552"/>
    <x v="2"/>
    <x v="867"/>
    <x v="578"/>
    <x v="0"/>
    <x v="3"/>
  </r>
  <r>
    <x v="602"/>
    <x v="238"/>
    <x v="1"/>
    <x v="1"/>
    <x v="561"/>
    <x v="0"/>
    <x v="328"/>
    <x v="533"/>
    <x v="1"/>
    <x v="1"/>
  </r>
  <r>
    <x v="603"/>
    <x v="239"/>
    <x v="2"/>
    <x v="2"/>
    <x v="570"/>
    <x v="1"/>
    <x v="702"/>
    <x v="569"/>
    <x v="1"/>
    <x v="4"/>
  </r>
  <r>
    <x v="604"/>
    <x v="240"/>
    <x v="3"/>
    <x v="0"/>
    <x v="579"/>
    <x v="2"/>
    <x v="889"/>
    <x v="605"/>
    <x v="1"/>
    <x v="2"/>
  </r>
  <r>
    <x v="605"/>
    <x v="241"/>
    <x v="0"/>
    <x v="1"/>
    <x v="588"/>
    <x v="0"/>
    <x v="354"/>
    <x v="560"/>
    <x v="1"/>
    <x v="0"/>
  </r>
  <r>
    <x v="606"/>
    <x v="242"/>
    <x v="4"/>
    <x v="2"/>
    <x v="597"/>
    <x v="1"/>
    <x v="731"/>
    <x v="596"/>
    <x v="1"/>
    <x v="3"/>
  </r>
  <r>
    <x v="607"/>
    <x v="243"/>
    <x v="1"/>
    <x v="0"/>
    <x v="606"/>
    <x v="2"/>
    <x v="912"/>
    <x v="634"/>
    <x v="1"/>
    <x v="1"/>
  </r>
  <r>
    <x v="608"/>
    <x v="244"/>
    <x v="2"/>
    <x v="1"/>
    <x v="615"/>
    <x v="0"/>
    <x v="363"/>
    <x v="587"/>
    <x v="0"/>
    <x v="4"/>
  </r>
  <r>
    <x v="609"/>
    <x v="245"/>
    <x v="3"/>
    <x v="2"/>
    <x v="624"/>
    <x v="1"/>
    <x v="745"/>
    <x v="623"/>
    <x v="1"/>
    <x v="2"/>
  </r>
  <r>
    <x v="610"/>
    <x v="246"/>
    <x v="0"/>
    <x v="0"/>
    <x v="633"/>
    <x v="2"/>
    <x v="934"/>
    <x v="663"/>
    <x v="1"/>
    <x v="0"/>
  </r>
  <r>
    <x v="611"/>
    <x v="247"/>
    <x v="4"/>
    <x v="1"/>
    <x v="642"/>
    <x v="0"/>
    <x v="382"/>
    <x v="614"/>
    <x v="1"/>
    <x v="3"/>
  </r>
  <r>
    <x v="612"/>
    <x v="248"/>
    <x v="1"/>
    <x v="2"/>
    <x v="651"/>
    <x v="1"/>
    <x v="763"/>
    <x v="650"/>
    <x v="1"/>
    <x v="1"/>
  </r>
  <r>
    <x v="613"/>
    <x v="249"/>
    <x v="2"/>
    <x v="0"/>
    <x v="660"/>
    <x v="2"/>
    <x v="957"/>
    <x v="692"/>
    <x v="1"/>
    <x v="4"/>
  </r>
  <r>
    <x v="614"/>
    <x v="250"/>
    <x v="3"/>
    <x v="1"/>
    <x v="669"/>
    <x v="0"/>
    <x v="399"/>
    <x v="639"/>
    <x v="1"/>
    <x v="2"/>
  </r>
  <r>
    <x v="615"/>
    <x v="251"/>
    <x v="0"/>
    <x v="2"/>
    <x v="678"/>
    <x v="1"/>
    <x v="776"/>
    <x v="677"/>
    <x v="0"/>
    <x v="0"/>
  </r>
  <r>
    <x v="616"/>
    <x v="252"/>
    <x v="4"/>
    <x v="0"/>
    <x v="687"/>
    <x v="2"/>
    <x v="979"/>
    <x v="721"/>
    <x v="1"/>
    <x v="3"/>
  </r>
  <r>
    <x v="617"/>
    <x v="253"/>
    <x v="1"/>
    <x v="1"/>
    <x v="696"/>
    <x v="0"/>
    <x v="417"/>
    <x v="664"/>
    <x v="1"/>
    <x v="1"/>
  </r>
  <r>
    <x v="618"/>
    <x v="254"/>
    <x v="2"/>
    <x v="2"/>
    <x v="705"/>
    <x v="1"/>
    <x v="790"/>
    <x v="704"/>
    <x v="1"/>
    <x v="4"/>
  </r>
  <r>
    <x v="619"/>
    <x v="255"/>
    <x v="3"/>
    <x v="0"/>
    <x v="714"/>
    <x v="2"/>
    <x v="1001"/>
    <x v="749"/>
    <x v="1"/>
    <x v="2"/>
  </r>
  <r>
    <x v="620"/>
    <x v="256"/>
    <x v="0"/>
    <x v="1"/>
    <x v="723"/>
    <x v="0"/>
    <x v="427"/>
    <x v="689"/>
    <x v="1"/>
    <x v="0"/>
  </r>
  <r>
    <x v="621"/>
    <x v="257"/>
    <x v="4"/>
    <x v="2"/>
    <x v="732"/>
    <x v="1"/>
    <x v="808"/>
    <x v="731"/>
    <x v="1"/>
    <x v="3"/>
  </r>
  <r>
    <x v="622"/>
    <x v="258"/>
    <x v="1"/>
    <x v="0"/>
    <x v="741"/>
    <x v="2"/>
    <x v="1022"/>
    <x v="776"/>
    <x v="0"/>
    <x v="1"/>
  </r>
  <r>
    <x v="623"/>
    <x v="259"/>
    <x v="2"/>
    <x v="1"/>
    <x v="750"/>
    <x v="0"/>
    <x v="453"/>
    <x v="714"/>
    <x v="1"/>
    <x v="4"/>
  </r>
  <r>
    <x v="624"/>
    <x v="260"/>
    <x v="3"/>
    <x v="2"/>
    <x v="759"/>
    <x v="1"/>
    <x v="821"/>
    <x v="758"/>
    <x v="1"/>
    <x v="2"/>
  </r>
  <r>
    <x v="625"/>
    <x v="261"/>
    <x v="0"/>
    <x v="0"/>
    <x v="768"/>
    <x v="2"/>
    <x v="1043"/>
    <x v="803"/>
    <x v="1"/>
    <x v="0"/>
  </r>
  <r>
    <x v="626"/>
    <x v="262"/>
    <x v="4"/>
    <x v="1"/>
    <x v="777"/>
    <x v="0"/>
    <x v="462"/>
    <x v="740"/>
    <x v="1"/>
    <x v="3"/>
  </r>
  <r>
    <x v="627"/>
    <x v="263"/>
    <x v="1"/>
    <x v="2"/>
    <x v="786"/>
    <x v="1"/>
    <x v="835"/>
    <x v="785"/>
    <x v="1"/>
    <x v="1"/>
  </r>
  <r>
    <x v="628"/>
    <x v="264"/>
    <x v="2"/>
    <x v="0"/>
    <x v="795"/>
    <x v="2"/>
    <x v="1064"/>
    <x v="830"/>
    <x v="1"/>
    <x v="4"/>
  </r>
  <r>
    <x v="629"/>
    <x v="265"/>
    <x v="3"/>
    <x v="1"/>
    <x v="804"/>
    <x v="0"/>
    <x v="481"/>
    <x v="767"/>
    <x v="0"/>
    <x v="2"/>
  </r>
  <r>
    <x v="630"/>
    <x v="266"/>
    <x v="0"/>
    <x v="2"/>
    <x v="813"/>
    <x v="1"/>
    <x v="853"/>
    <x v="812"/>
    <x v="1"/>
    <x v="0"/>
  </r>
  <r>
    <x v="631"/>
    <x v="267"/>
    <x v="4"/>
    <x v="0"/>
    <x v="822"/>
    <x v="2"/>
    <x v="1074"/>
    <x v="857"/>
    <x v="1"/>
    <x v="3"/>
  </r>
  <r>
    <x v="632"/>
    <x v="268"/>
    <x v="1"/>
    <x v="1"/>
    <x v="831"/>
    <x v="0"/>
    <x v="498"/>
    <x v="794"/>
    <x v="1"/>
    <x v="1"/>
  </r>
  <r>
    <x v="633"/>
    <x v="269"/>
    <x v="2"/>
    <x v="2"/>
    <x v="840"/>
    <x v="1"/>
    <x v="866"/>
    <x v="840"/>
    <x v="1"/>
    <x v="4"/>
  </r>
  <r>
    <x v="634"/>
    <x v="270"/>
    <x v="3"/>
    <x v="0"/>
    <x v="849"/>
    <x v="2"/>
    <x v="1083"/>
    <x v="884"/>
    <x v="1"/>
    <x v="2"/>
  </r>
  <r>
    <x v="635"/>
    <x v="271"/>
    <x v="0"/>
    <x v="1"/>
    <x v="858"/>
    <x v="0"/>
    <x v="516"/>
    <x v="820"/>
    <x v="1"/>
    <x v="0"/>
  </r>
  <r>
    <x v="636"/>
    <x v="272"/>
    <x v="4"/>
    <x v="2"/>
    <x v="867"/>
    <x v="1"/>
    <x v="880"/>
    <x v="868"/>
    <x v="0"/>
    <x v="3"/>
  </r>
  <r>
    <x v="637"/>
    <x v="273"/>
    <x v="1"/>
    <x v="0"/>
    <x v="876"/>
    <x v="2"/>
    <x v="1092"/>
    <x v="912"/>
    <x v="1"/>
    <x v="1"/>
  </r>
  <r>
    <x v="638"/>
    <x v="274"/>
    <x v="2"/>
    <x v="1"/>
    <x v="885"/>
    <x v="0"/>
    <x v="526"/>
    <x v="846"/>
    <x v="1"/>
    <x v="4"/>
  </r>
  <r>
    <x v="639"/>
    <x v="275"/>
    <x v="3"/>
    <x v="2"/>
    <x v="894"/>
    <x v="1"/>
    <x v="898"/>
    <x v="896"/>
    <x v="1"/>
    <x v="2"/>
  </r>
  <r>
    <x v="640"/>
    <x v="276"/>
    <x v="0"/>
    <x v="0"/>
    <x v="903"/>
    <x v="2"/>
    <x v="1101"/>
    <x v="942"/>
    <x v="1"/>
    <x v="0"/>
  </r>
  <r>
    <x v="641"/>
    <x v="277"/>
    <x v="4"/>
    <x v="1"/>
    <x v="912"/>
    <x v="0"/>
    <x v="552"/>
    <x v="872"/>
    <x v="1"/>
    <x v="3"/>
  </r>
  <r>
    <x v="642"/>
    <x v="278"/>
    <x v="1"/>
    <x v="2"/>
    <x v="921"/>
    <x v="1"/>
    <x v="911"/>
    <x v="923"/>
    <x v="1"/>
    <x v="1"/>
  </r>
  <r>
    <x v="643"/>
    <x v="279"/>
    <x v="2"/>
    <x v="0"/>
    <x v="930"/>
    <x v="2"/>
    <x v="1110"/>
    <x v="972"/>
    <x v="0"/>
    <x v="4"/>
  </r>
  <r>
    <x v="644"/>
    <x v="280"/>
    <x v="3"/>
    <x v="1"/>
    <x v="939"/>
    <x v="0"/>
    <x v="561"/>
    <x v="897"/>
    <x v="1"/>
    <x v="2"/>
  </r>
  <r>
    <x v="645"/>
    <x v="281"/>
    <x v="0"/>
    <x v="2"/>
    <x v="948"/>
    <x v="1"/>
    <x v="925"/>
    <x v="950"/>
    <x v="1"/>
    <x v="0"/>
  </r>
  <r>
    <x v="646"/>
    <x v="282"/>
    <x v="4"/>
    <x v="0"/>
    <x v="957"/>
    <x v="2"/>
    <x v="1119"/>
    <x v="1002"/>
    <x v="1"/>
    <x v="3"/>
  </r>
  <r>
    <x v="647"/>
    <x v="283"/>
    <x v="1"/>
    <x v="1"/>
    <x v="966"/>
    <x v="0"/>
    <x v="580"/>
    <x v="922"/>
    <x v="1"/>
    <x v="1"/>
  </r>
  <r>
    <x v="648"/>
    <x v="284"/>
    <x v="2"/>
    <x v="2"/>
    <x v="975"/>
    <x v="1"/>
    <x v="943"/>
    <x v="977"/>
    <x v="1"/>
    <x v="4"/>
  </r>
  <r>
    <x v="649"/>
    <x v="285"/>
    <x v="3"/>
    <x v="0"/>
    <x v="984"/>
    <x v="2"/>
    <x v="1128"/>
    <x v="1032"/>
    <x v="1"/>
    <x v="2"/>
  </r>
  <r>
    <x v="650"/>
    <x v="286"/>
    <x v="0"/>
    <x v="1"/>
    <x v="993"/>
    <x v="0"/>
    <x v="597"/>
    <x v="946"/>
    <x v="0"/>
    <x v="0"/>
  </r>
  <r>
    <x v="651"/>
    <x v="287"/>
    <x v="4"/>
    <x v="2"/>
    <x v="1002"/>
    <x v="1"/>
    <x v="956"/>
    <x v="1004"/>
    <x v="1"/>
    <x v="3"/>
  </r>
  <r>
    <x v="652"/>
    <x v="288"/>
    <x v="1"/>
    <x v="0"/>
    <x v="1011"/>
    <x v="2"/>
    <x v="1137"/>
    <x v="1059"/>
    <x v="1"/>
    <x v="1"/>
  </r>
  <r>
    <x v="653"/>
    <x v="289"/>
    <x v="2"/>
    <x v="1"/>
    <x v="1020"/>
    <x v="0"/>
    <x v="615"/>
    <x v="970"/>
    <x v="1"/>
    <x v="4"/>
  </r>
  <r>
    <x v="654"/>
    <x v="290"/>
    <x v="3"/>
    <x v="2"/>
    <x v="1029"/>
    <x v="1"/>
    <x v="970"/>
    <x v="1031"/>
    <x v="1"/>
    <x v="2"/>
  </r>
  <r>
    <x v="655"/>
    <x v="291"/>
    <x v="0"/>
    <x v="0"/>
    <x v="1038"/>
    <x v="2"/>
    <x v="1146"/>
    <x v="1085"/>
    <x v="1"/>
    <x v="0"/>
  </r>
  <r>
    <x v="656"/>
    <x v="292"/>
    <x v="4"/>
    <x v="1"/>
    <x v="1047"/>
    <x v="0"/>
    <x v="625"/>
    <x v="994"/>
    <x v="1"/>
    <x v="3"/>
  </r>
  <r>
    <x v="657"/>
    <x v="293"/>
    <x v="1"/>
    <x v="2"/>
    <x v="1056"/>
    <x v="1"/>
    <x v="988"/>
    <x v="1056"/>
    <x v="0"/>
    <x v="1"/>
  </r>
  <r>
    <x v="658"/>
    <x v="294"/>
    <x v="2"/>
    <x v="0"/>
    <x v="1065"/>
    <x v="2"/>
    <x v="1155"/>
    <x v="1111"/>
    <x v="1"/>
    <x v="4"/>
  </r>
  <r>
    <x v="659"/>
    <x v="295"/>
    <x v="3"/>
    <x v="1"/>
    <x v="1074"/>
    <x v="0"/>
    <x v="651"/>
    <x v="1018"/>
    <x v="1"/>
    <x v="2"/>
  </r>
  <r>
    <x v="660"/>
    <x v="296"/>
    <x v="0"/>
    <x v="2"/>
    <x v="1082"/>
    <x v="1"/>
    <x v="1000"/>
    <x v="1080"/>
    <x v="1"/>
    <x v="0"/>
  </r>
  <r>
    <x v="661"/>
    <x v="297"/>
    <x v="4"/>
    <x v="0"/>
    <x v="1090"/>
    <x v="2"/>
    <x v="1163"/>
    <x v="1136"/>
    <x v="1"/>
    <x v="3"/>
  </r>
  <r>
    <x v="662"/>
    <x v="298"/>
    <x v="1"/>
    <x v="1"/>
    <x v="1098"/>
    <x v="0"/>
    <x v="659"/>
    <x v="1044"/>
    <x v="1"/>
    <x v="1"/>
  </r>
  <r>
    <x v="663"/>
    <x v="299"/>
    <x v="2"/>
    <x v="2"/>
    <x v="1106"/>
    <x v="1"/>
    <x v="1013"/>
    <x v="1104"/>
    <x v="1"/>
    <x v="4"/>
  </r>
  <r>
    <x v="664"/>
    <x v="300"/>
    <x v="3"/>
    <x v="0"/>
    <x v="1114"/>
    <x v="2"/>
    <x v="1171"/>
    <x v="1160"/>
    <x v="0"/>
    <x v="2"/>
  </r>
  <r>
    <x v="665"/>
    <x v="301"/>
    <x v="0"/>
    <x v="1"/>
    <x v="1122"/>
    <x v="0"/>
    <x v="677"/>
    <x v="1070"/>
    <x v="1"/>
    <x v="0"/>
  </r>
  <r>
    <x v="666"/>
    <x v="302"/>
    <x v="4"/>
    <x v="2"/>
    <x v="1130"/>
    <x v="1"/>
    <x v="1030"/>
    <x v="1128"/>
    <x v="1"/>
    <x v="3"/>
  </r>
  <r>
    <x v="667"/>
    <x v="303"/>
    <x v="1"/>
    <x v="0"/>
    <x v="1138"/>
    <x v="2"/>
    <x v="1179"/>
    <x v="1176"/>
    <x v="1"/>
    <x v="1"/>
  </r>
  <r>
    <x v="668"/>
    <x v="304"/>
    <x v="2"/>
    <x v="1"/>
    <x v="1146"/>
    <x v="0"/>
    <x v="693"/>
    <x v="1095"/>
    <x v="1"/>
    <x v="4"/>
  </r>
  <r>
    <x v="669"/>
    <x v="305"/>
    <x v="3"/>
    <x v="2"/>
    <x v="1154"/>
    <x v="1"/>
    <x v="1042"/>
    <x v="1152"/>
    <x v="1"/>
    <x v="2"/>
  </r>
  <r>
    <x v="670"/>
    <x v="306"/>
    <x v="0"/>
    <x v="0"/>
    <x v="1162"/>
    <x v="2"/>
    <x v="1187"/>
    <x v="1185"/>
    <x v="1"/>
    <x v="0"/>
  </r>
  <r>
    <x v="671"/>
    <x v="307"/>
    <x v="4"/>
    <x v="1"/>
    <x v="1170"/>
    <x v="0"/>
    <x v="710"/>
    <x v="1120"/>
    <x v="0"/>
    <x v="3"/>
  </r>
  <r>
    <x v="672"/>
    <x v="308"/>
    <x v="1"/>
    <x v="2"/>
    <x v="1178"/>
    <x v="1"/>
    <x v="1055"/>
    <x v="1168"/>
    <x v="1"/>
    <x v="1"/>
  </r>
  <r>
    <x v="673"/>
    <x v="309"/>
    <x v="2"/>
    <x v="0"/>
    <x v="1186"/>
    <x v="2"/>
    <x v="1195"/>
    <x v="1193"/>
    <x v="1"/>
    <x v="4"/>
  </r>
  <r>
    <x v="674"/>
    <x v="310"/>
    <x v="3"/>
    <x v="1"/>
    <x v="1194"/>
    <x v="0"/>
    <x v="719"/>
    <x v="1144"/>
    <x v="1"/>
    <x v="2"/>
  </r>
  <r>
    <x v="675"/>
    <x v="311"/>
    <x v="0"/>
    <x v="2"/>
    <x v="2"/>
    <x v="1"/>
    <x v="11"/>
    <x v="2"/>
    <x v="1"/>
    <x v="0"/>
  </r>
  <r>
    <x v="676"/>
    <x v="312"/>
    <x v="4"/>
    <x v="0"/>
    <x v="11"/>
    <x v="2"/>
    <x v="42"/>
    <x v="11"/>
    <x v="1"/>
    <x v="3"/>
  </r>
  <r>
    <x v="677"/>
    <x v="313"/>
    <x v="1"/>
    <x v="1"/>
    <x v="20"/>
    <x v="0"/>
    <x v="3"/>
    <x v="19"/>
    <x v="1"/>
    <x v="1"/>
  </r>
  <r>
    <x v="678"/>
    <x v="314"/>
    <x v="2"/>
    <x v="2"/>
    <x v="29"/>
    <x v="1"/>
    <x v="41"/>
    <x v="29"/>
    <x v="0"/>
    <x v="4"/>
  </r>
  <r>
    <x v="679"/>
    <x v="315"/>
    <x v="3"/>
    <x v="0"/>
    <x v="38"/>
    <x v="2"/>
    <x v="92"/>
    <x v="39"/>
    <x v="1"/>
    <x v="2"/>
  </r>
  <r>
    <x v="680"/>
    <x v="316"/>
    <x v="0"/>
    <x v="1"/>
    <x v="47"/>
    <x v="0"/>
    <x v="20"/>
    <x v="44"/>
    <x v="1"/>
    <x v="0"/>
  </r>
  <r>
    <x v="681"/>
    <x v="317"/>
    <x v="4"/>
    <x v="2"/>
    <x v="56"/>
    <x v="1"/>
    <x v="74"/>
    <x v="56"/>
    <x v="1"/>
    <x v="3"/>
  </r>
  <r>
    <x v="682"/>
    <x v="318"/>
    <x v="1"/>
    <x v="0"/>
    <x v="65"/>
    <x v="2"/>
    <x v="141"/>
    <x v="68"/>
    <x v="1"/>
    <x v="1"/>
  </r>
  <r>
    <x v="683"/>
    <x v="319"/>
    <x v="2"/>
    <x v="1"/>
    <x v="74"/>
    <x v="0"/>
    <x v="30"/>
    <x v="69"/>
    <x v="1"/>
    <x v="4"/>
  </r>
  <r>
    <x v="684"/>
    <x v="320"/>
    <x v="3"/>
    <x v="2"/>
    <x v="83"/>
    <x v="1"/>
    <x v="110"/>
    <x v="83"/>
    <x v="1"/>
    <x v="2"/>
  </r>
  <r>
    <x v="685"/>
    <x v="321"/>
    <x v="0"/>
    <x v="0"/>
    <x v="92"/>
    <x v="2"/>
    <x v="191"/>
    <x v="97"/>
    <x v="0"/>
    <x v="0"/>
  </r>
  <r>
    <x v="686"/>
    <x v="322"/>
    <x v="4"/>
    <x v="1"/>
    <x v="101"/>
    <x v="0"/>
    <x v="55"/>
    <x v="94"/>
    <x v="1"/>
    <x v="3"/>
  </r>
  <r>
    <x v="687"/>
    <x v="323"/>
    <x v="1"/>
    <x v="2"/>
    <x v="110"/>
    <x v="1"/>
    <x v="140"/>
    <x v="110"/>
    <x v="1"/>
    <x v="1"/>
  </r>
  <r>
    <x v="688"/>
    <x v="324"/>
    <x v="2"/>
    <x v="0"/>
    <x v="119"/>
    <x v="2"/>
    <x v="240"/>
    <x v="126"/>
    <x v="1"/>
    <x v="4"/>
  </r>
  <r>
    <x v="689"/>
    <x v="325"/>
    <x v="3"/>
    <x v="1"/>
    <x v="128"/>
    <x v="0"/>
    <x v="65"/>
    <x v="119"/>
    <x v="1"/>
    <x v="2"/>
  </r>
  <r>
    <x v="690"/>
    <x v="326"/>
    <x v="0"/>
    <x v="2"/>
    <x v="137"/>
    <x v="1"/>
    <x v="173"/>
    <x v="137"/>
    <x v="1"/>
    <x v="0"/>
  </r>
  <r>
    <x v="691"/>
    <x v="327"/>
    <x v="4"/>
    <x v="0"/>
    <x v="146"/>
    <x v="2"/>
    <x v="290"/>
    <x v="155"/>
    <x v="1"/>
    <x v="3"/>
  </r>
  <r>
    <x v="692"/>
    <x v="328"/>
    <x v="1"/>
    <x v="1"/>
    <x v="155"/>
    <x v="0"/>
    <x v="84"/>
    <x v="146"/>
    <x v="0"/>
    <x v="1"/>
  </r>
  <r>
    <x v="693"/>
    <x v="329"/>
    <x v="2"/>
    <x v="2"/>
    <x v="164"/>
    <x v="1"/>
    <x v="209"/>
    <x v="164"/>
    <x v="1"/>
    <x v="4"/>
  </r>
  <r>
    <x v="694"/>
    <x v="330"/>
    <x v="3"/>
    <x v="0"/>
    <x v="173"/>
    <x v="2"/>
    <x v="339"/>
    <x v="182"/>
    <x v="1"/>
    <x v="2"/>
  </r>
  <r>
    <x v="695"/>
    <x v="331"/>
    <x v="0"/>
    <x v="1"/>
    <x v="182"/>
    <x v="0"/>
    <x v="100"/>
    <x v="173"/>
    <x v="1"/>
    <x v="0"/>
  </r>
  <r>
    <x v="696"/>
    <x v="332"/>
    <x v="4"/>
    <x v="2"/>
    <x v="191"/>
    <x v="1"/>
    <x v="239"/>
    <x v="191"/>
    <x v="1"/>
    <x v="3"/>
  </r>
  <r>
    <x v="697"/>
    <x v="333"/>
    <x v="1"/>
    <x v="0"/>
    <x v="200"/>
    <x v="2"/>
    <x v="389"/>
    <x v="209"/>
    <x v="1"/>
    <x v="1"/>
  </r>
  <r>
    <x v="698"/>
    <x v="334"/>
    <x v="2"/>
    <x v="1"/>
    <x v="209"/>
    <x v="0"/>
    <x v="119"/>
    <x v="200"/>
    <x v="1"/>
    <x v="4"/>
  </r>
  <r>
    <x v="699"/>
    <x v="335"/>
    <x v="3"/>
    <x v="2"/>
    <x v="218"/>
    <x v="1"/>
    <x v="272"/>
    <x v="218"/>
    <x v="0"/>
    <x v="2"/>
  </r>
  <r>
    <x v="700"/>
    <x v="336"/>
    <x v="0"/>
    <x v="0"/>
    <x v="227"/>
    <x v="2"/>
    <x v="438"/>
    <x v="236"/>
    <x v="1"/>
    <x v="0"/>
  </r>
  <r>
    <x v="701"/>
    <x v="337"/>
    <x v="4"/>
    <x v="1"/>
    <x v="236"/>
    <x v="0"/>
    <x v="129"/>
    <x v="227"/>
    <x v="1"/>
    <x v="3"/>
  </r>
  <r>
    <x v="702"/>
    <x v="338"/>
    <x v="1"/>
    <x v="2"/>
    <x v="245"/>
    <x v="1"/>
    <x v="308"/>
    <x v="245"/>
    <x v="1"/>
    <x v="1"/>
  </r>
  <r>
    <x v="703"/>
    <x v="339"/>
    <x v="2"/>
    <x v="0"/>
    <x v="254"/>
    <x v="2"/>
    <x v="488"/>
    <x v="263"/>
    <x v="1"/>
    <x v="4"/>
  </r>
  <r>
    <x v="704"/>
    <x v="340"/>
    <x v="3"/>
    <x v="1"/>
    <x v="263"/>
    <x v="0"/>
    <x v="154"/>
    <x v="253"/>
    <x v="1"/>
    <x v="2"/>
  </r>
  <r>
    <x v="705"/>
    <x v="341"/>
    <x v="0"/>
    <x v="2"/>
    <x v="272"/>
    <x v="1"/>
    <x v="338"/>
    <x v="271"/>
    <x v="1"/>
    <x v="0"/>
  </r>
  <r>
    <x v="706"/>
    <x v="342"/>
    <x v="4"/>
    <x v="0"/>
    <x v="281"/>
    <x v="2"/>
    <x v="537"/>
    <x v="290"/>
    <x v="0"/>
    <x v="3"/>
  </r>
  <r>
    <x v="707"/>
    <x v="343"/>
    <x v="1"/>
    <x v="1"/>
    <x v="290"/>
    <x v="0"/>
    <x v="164"/>
    <x v="279"/>
    <x v="1"/>
    <x v="1"/>
  </r>
  <r>
    <x v="708"/>
    <x v="344"/>
    <x v="2"/>
    <x v="2"/>
    <x v="299"/>
    <x v="1"/>
    <x v="371"/>
    <x v="298"/>
    <x v="1"/>
    <x v="4"/>
  </r>
  <r>
    <x v="709"/>
    <x v="345"/>
    <x v="3"/>
    <x v="0"/>
    <x v="308"/>
    <x v="2"/>
    <x v="587"/>
    <x v="318"/>
    <x v="1"/>
    <x v="2"/>
  </r>
  <r>
    <x v="710"/>
    <x v="346"/>
    <x v="0"/>
    <x v="1"/>
    <x v="317"/>
    <x v="0"/>
    <x v="183"/>
    <x v="305"/>
    <x v="1"/>
    <x v="0"/>
  </r>
  <r>
    <x v="711"/>
    <x v="347"/>
    <x v="4"/>
    <x v="2"/>
    <x v="326"/>
    <x v="1"/>
    <x v="407"/>
    <x v="325"/>
    <x v="1"/>
    <x v="3"/>
  </r>
  <r>
    <x v="712"/>
    <x v="348"/>
    <x v="1"/>
    <x v="0"/>
    <x v="335"/>
    <x v="2"/>
    <x v="636"/>
    <x v="347"/>
    <x v="1"/>
    <x v="1"/>
  </r>
  <r>
    <x v="713"/>
    <x v="349"/>
    <x v="2"/>
    <x v="1"/>
    <x v="344"/>
    <x v="0"/>
    <x v="199"/>
    <x v="328"/>
    <x v="0"/>
    <x v="4"/>
  </r>
  <r>
    <x v="714"/>
    <x v="350"/>
    <x v="3"/>
    <x v="2"/>
    <x v="353"/>
    <x v="1"/>
    <x v="437"/>
    <x v="352"/>
    <x v="1"/>
    <x v="2"/>
  </r>
  <r>
    <x v="715"/>
    <x v="351"/>
    <x v="0"/>
    <x v="0"/>
    <x v="362"/>
    <x v="2"/>
    <x v="684"/>
    <x v="377"/>
    <x v="1"/>
    <x v="0"/>
  </r>
  <r>
    <x v="716"/>
    <x v="352"/>
    <x v="4"/>
    <x v="1"/>
    <x v="371"/>
    <x v="0"/>
    <x v="218"/>
    <x v="351"/>
    <x v="1"/>
    <x v="3"/>
  </r>
  <r>
    <x v="717"/>
    <x v="353"/>
    <x v="1"/>
    <x v="2"/>
    <x v="380"/>
    <x v="1"/>
    <x v="470"/>
    <x v="379"/>
    <x v="1"/>
    <x v="1"/>
  </r>
  <r>
    <x v="718"/>
    <x v="354"/>
    <x v="2"/>
    <x v="0"/>
    <x v="389"/>
    <x v="2"/>
    <x v="730"/>
    <x v="407"/>
    <x v="1"/>
    <x v="4"/>
  </r>
  <r>
    <x v="719"/>
    <x v="355"/>
    <x v="3"/>
    <x v="1"/>
    <x v="398"/>
    <x v="0"/>
    <x v="228"/>
    <x v="375"/>
    <x v="1"/>
    <x v="2"/>
  </r>
  <r>
    <x v="720"/>
    <x v="356"/>
    <x v="0"/>
    <x v="2"/>
    <x v="407"/>
    <x v="1"/>
    <x v="506"/>
    <x v="406"/>
    <x v="0"/>
    <x v="0"/>
  </r>
  <r>
    <x v="721"/>
    <x v="357"/>
    <x v="4"/>
    <x v="0"/>
    <x v="416"/>
    <x v="2"/>
    <x v="753"/>
    <x v="437"/>
    <x v="1"/>
    <x v="3"/>
  </r>
  <r>
    <x v="722"/>
    <x v="358"/>
    <x v="1"/>
    <x v="1"/>
    <x v="425"/>
    <x v="0"/>
    <x v="253"/>
    <x v="399"/>
    <x v="1"/>
    <x v="1"/>
  </r>
  <r>
    <x v="723"/>
    <x v="359"/>
    <x v="2"/>
    <x v="2"/>
    <x v="434"/>
    <x v="1"/>
    <x v="536"/>
    <x v="433"/>
    <x v="1"/>
    <x v="4"/>
  </r>
  <r>
    <x v="724"/>
    <x v="360"/>
    <x v="3"/>
    <x v="0"/>
    <x v="443"/>
    <x v="2"/>
    <x v="775"/>
    <x v="466"/>
    <x v="1"/>
    <x v="2"/>
  </r>
  <r>
    <x v="725"/>
    <x v="361"/>
    <x v="0"/>
    <x v="1"/>
    <x v="452"/>
    <x v="0"/>
    <x v="263"/>
    <x v="424"/>
    <x v="1"/>
    <x v="0"/>
  </r>
  <r>
    <x v="726"/>
    <x v="362"/>
    <x v="4"/>
    <x v="2"/>
    <x v="461"/>
    <x v="1"/>
    <x v="569"/>
    <x v="460"/>
    <x v="1"/>
    <x v="3"/>
  </r>
  <r>
    <x v="727"/>
    <x v="363"/>
    <x v="1"/>
    <x v="0"/>
    <x v="470"/>
    <x v="2"/>
    <x v="798"/>
    <x v="494"/>
    <x v="0"/>
    <x v="1"/>
  </r>
  <r>
    <x v="728"/>
    <x v="364"/>
    <x v="2"/>
    <x v="1"/>
    <x v="479"/>
    <x v="0"/>
    <x v="282"/>
    <x v="451"/>
    <x v="1"/>
    <x v="4"/>
  </r>
  <r>
    <x v="729"/>
    <x v="0"/>
    <x v="3"/>
    <x v="2"/>
    <x v="488"/>
    <x v="1"/>
    <x v="605"/>
    <x v="487"/>
    <x v="1"/>
    <x v="2"/>
  </r>
  <r>
    <x v="730"/>
    <x v="1"/>
    <x v="0"/>
    <x v="0"/>
    <x v="497"/>
    <x v="2"/>
    <x v="820"/>
    <x v="522"/>
    <x v="1"/>
    <x v="0"/>
  </r>
  <r>
    <x v="731"/>
    <x v="2"/>
    <x v="4"/>
    <x v="1"/>
    <x v="506"/>
    <x v="0"/>
    <x v="298"/>
    <x v="478"/>
    <x v="1"/>
    <x v="3"/>
  </r>
  <r>
    <x v="732"/>
    <x v="3"/>
    <x v="1"/>
    <x v="2"/>
    <x v="515"/>
    <x v="1"/>
    <x v="635"/>
    <x v="514"/>
    <x v="1"/>
    <x v="1"/>
  </r>
  <r>
    <x v="733"/>
    <x v="4"/>
    <x v="2"/>
    <x v="0"/>
    <x v="524"/>
    <x v="2"/>
    <x v="843"/>
    <x v="550"/>
    <x v="1"/>
    <x v="4"/>
  </r>
  <r>
    <x v="734"/>
    <x v="5"/>
    <x v="3"/>
    <x v="1"/>
    <x v="533"/>
    <x v="0"/>
    <x v="317"/>
    <x v="505"/>
    <x v="0"/>
    <x v="2"/>
  </r>
  <r>
    <x v="735"/>
    <x v="6"/>
    <x v="0"/>
    <x v="2"/>
    <x v="542"/>
    <x v="1"/>
    <x v="667"/>
    <x v="541"/>
    <x v="1"/>
    <x v="0"/>
  </r>
  <r>
    <x v="736"/>
    <x v="7"/>
    <x v="4"/>
    <x v="0"/>
    <x v="551"/>
    <x v="2"/>
    <x v="865"/>
    <x v="577"/>
    <x v="1"/>
    <x v="3"/>
  </r>
  <r>
    <x v="737"/>
    <x v="8"/>
    <x v="1"/>
    <x v="1"/>
    <x v="560"/>
    <x v="0"/>
    <x v="327"/>
    <x v="532"/>
    <x v="1"/>
    <x v="1"/>
  </r>
  <r>
    <x v="738"/>
    <x v="9"/>
    <x v="2"/>
    <x v="2"/>
    <x v="569"/>
    <x v="1"/>
    <x v="701"/>
    <x v="568"/>
    <x v="1"/>
    <x v="4"/>
  </r>
  <r>
    <x v="739"/>
    <x v="10"/>
    <x v="3"/>
    <x v="0"/>
    <x v="578"/>
    <x v="2"/>
    <x v="888"/>
    <x v="604"/>
    <x v="1"/>
    <x v="2"/>
  </r>
  <r>
    <x v="740"/>
    <x v="11"/>
    <x v="0"/>
    <x v="1"/>
    <x v="587"/>
    <x v="0"/>
    <x v="352"/>
    <x v="559"/>
    <x v="1"/>
    <x v="0"/>
  </r>
  <r>
    <x v="741"/>
    <x v="12"/>
    <x v="4"/>
    <x v="2"/>
    <x v="596"/>
    <x v="1"/>
    <x v="729"/>
    <x v="595"/>
    <x v="0"/>
    <x v="3"/>
  </r>
  <r>
    <x v="742"/>
    <x v="13"/>
    <x v="1"/>
    <x v="0"/>
    <x v="605"/>
    <x v="2"/>
    <x v="910"/>
    <x v="632"/>
    <x v="1"/>
    <x v="1"/>
  </r>
  <r>
    <x v="743"/>
    <x v="14"/>
    <x v="2"/>
    <x v="1"/>
    <x v="614"/>
    <x v="0"/>
    <x v="362"/>
    <x v="586"/>
    <x v="1"/>
    <x v="4"/>
  </r>
  <r>
    <x v="744"/>
    <x v="15"/>
    <x v="3"/>
    <x v="2"/>
    <x v="623"/>
    <x v="1"/>
    <x v="744"/>
    <x v="622"/>
    <x v="1"/>
    <x v="2"/>
  </r>
  <r>
    <x v="745"/>
    <x v="16"/>
    <x v="0"/>
    <x v="0"/>
    <x v="632"/>
    <x v="2"/>
    <x v="933"/>
    <x v="661"/>
    <x v="1"/>
    <x v="0"/>
  </r>
  <r>
    <x v="746"/>
    <x v="17"/>
    <x v="4"/>
    <x v="1"/>
    <x v="641"/>
    <x v="0"/>
    <x v="381"/>
    <x v="612"/>
    <x v="1"/>
    <x v="3"/>
  </r>
  <r>
    <x v="747"/>
    <x v="18"/>
    <x v="1"/>
    <x v="2"/>
    <x v="650"/>
    <x v="1"/>
    <x v="762"/>
    <x v="649"/>
    <x v="1"/>
    <x v="1"/>
  </r>
  <r>
    <x v="748"/>
    <x v="19"/>
    <x v="2"/>
    <x v="0"/>
    <x v="659"/>
    <x v="2"/>
    <x v="955"/>
    <x v="690"/>
    <x v="0"/>
    <x v="4"/>
  </r>
  <r>
    <x v="749"/>
    <x v="20"/>
    <x v="3"/>
    <x v="1"/>
    <x v="668"/>
    <x v="0"/>
    <x v="397"/>
    <x v="637"/>
    <x v="1"/>
    <x v="2"/>
  </r>
  <r>
    <x v="750"/>
    <x v="21"/>
    <x v="0"/>
    <x v="2"/>
    <x v="677"/>
    <x v="1"/>
    <x v="774"/>
    <x v="676"/>
    <x v="1"/>
    <x v="0"/>
  </r>
  <r>
    <x v="751"/>
    <x v="22"/>
    <x v="4"/>
    <x v="0"/>
    <x v="686"/>
    <x v="2"/>
    <x v="978"/>
    <x v="719"/>
    <x v="1"/>
    <x v="3"/>
  </r>
  <r>
    <x v="752"/>
    <x v="23"/>
    <x v="1"/>
    <x v="1"/>
    <x v="695"/>
    <x v="0"/>
    <x v="416"/>
    <x v="662"/>
    <x v="1"/>
    <x v="1"/>
  </r>
  <r>
    <x v="753"/>
    <x v="24"/>
    <x v="2"/>
    <x v="2"/>
    <x v="704"/>
    <x v="1"/>
    <x v="789"/>
    <x v="703"/>
    <x v="1"/>
    <x v="4"/>
  </r>
  <r>
    <x v="754"/>
    <x v="25"/>
    <x v="3"/>
    <x v="0"/>
    <x v="713"/>
    <x v="2"/>
    <x v="999"/>
    <x v="748"/>
    <x v="1"/>
    <x v="2"/>
  </r>
  <r>
    <x v="755"/>
    <x v="26"/>
    <x v="0"/>
    <x v="1"/>
    <x v="722"/>
    <x v="0"/>
    <x v="426"/>
    <x v="687"/>
    <x v="0"/>
    <x v="0"/>
  </r>
  <r>
    <x v="756"/>
    <x v="27"/>
    <x v="4"/>
    <x v="2"/>
    <x v="731"/>
    <x v="1"/>
    <x v="807"/>
    <x v="730"/>
    <x v="1"/>
    <x v="3"/>
  </r>
  <r>
    <x v="757"/>
    <x v="28"/>
    <x v="1"/>
    <x v="0"/>
    <x v="740"/>
    <x v="2"/>
    <x v="1021"/>
    <x v="775"/>
    <x v="1"/>
    <x v="1"/>
  </r>
  <r>
    <x v="758"/>
    <x v="29"/>
    <x v="2"/>
    <x v="1"/>
    <x v="749"/>
    <x v="0"/>
    <x v="451"/>
    <x v="712"/>
    <x v="1"/>
    <x v="4"/>
  </r>
  <r>
    <x v="759"/>
    <x v="30"/>
    <x v="3"/>
    <x v="2"/>
    <x v="758"/>
    <x v="1"/>
    <x v="819"/>
    <x v="757"/>
    <x v="1"/>
    <x v="2"/>
  </r>
  <r>
    <x v="760"/>
    <x v="31"/>
    <x v="0"/>
    <x v="0"/>
    <x v="767"/>
    <x v="2"/>
    <x v="1041"/>
    <x v="802"/>
    <x v="1"/>
    <x v="0"/>
  </r>
  <r>
    <x v="761"/>
    <x v="32"/>
    <x v="4"/>
    <x v="1"/>
    <x v="776"/>
    <x v="0"/>
    <x v="461"/>
    <x v="739"/>
    <x v="1"/>
    <x v="3"/>
  </r>
  <r>
    <x v="762"/>
    <x v="33"/>
    <x v="1"/>
    <x v="2"/>
    <x v="785"/>
    <x v="1"/>
    <x v="834"/>
    <x v="784"/>
    <x v="0"/>
    <x v="1"/>
  </r>
  <r>
    <x v="763"/>
    <x v="34"/>
    <x v="2"/>
    <x v="0"/>
    <x v="794"/>
    <x v="2"/>
    <x v="1063"/>
    <x v="829"/>
    <x v="1"/>
    <x v="4"/>
  </r>
  <r>
    <x v="764"/>
    <x v="35"/>
    <x v="3"/>
    <x v="1"/>
    <x v="803"/>
    <x v="0"/>
    <x v="480"/>
    <x v="766"/>
    <x v="1"/>
    <x v="2"/>
  </r>
  <r>
    <x v="765"/>
    <x v="36"/>
    <x v="0"/>
    <x v="2"/>
    <x v="812"/>
    <x v="1"/>
    <x v="852"/>
    <x v="811"/>
    <x v="1"/>
    <x v="0"/>
  </r>
  <r>
    <x v="766"/>
    <x v="37"/>
    <x v="4"/>
    <x v="0"/>
    <x v="821"/>
    <x v="2"/>
    <x v="1073"/>
    <x v="856"/>
    <x v="1"/>
    <x v="3"/>
  </r>
  <r>
    <x v="767"/>
    <x v="38"/>
    <x v="1"/>
    <x v="1"/>
    <x v="830"/>
    <x v="0"/>
    <x v="496"/>
    <x v="793"/>
    <x v="1"/>
    <x v="1"/>
  </r>
  <r>
    <x v="768"/>
    <x v="39"/>
    <x v="2"/>
    <x v="2"/>
    <x v="839"/>
    <x v="1"/>
    <x v="864"/>
    <x v="838"/>
    <x v="1"/>
    <x v="4"/>
  </r>
  <r>
    <x v="769"/>
    <x v="40"/>
    <x v="3"/>
    <x v="0"/>
    <x v="848"/>
    <x v="2"/>
    <x v="1082"/>
    <x v="883"/>
    <x v="0"/>
    <x v="2"/>
  </r>
  <r>
    <x v="770"/>
    <x v="41"/>
    <x v="0"/>
    <x v="1"/>
    <x v="857"/>
    <x v="0"/>
    <x v="515"/>
    <x v="819"/>
    <x v="1"/>
    <x v="0"/>
  </r>
  <r>
    <x v="771"/>
    <x v="42"/>
    <x v="4"/>
    <x v="2"/>
    <x v="866"/>
    <x v="1"/>
    <x v="879"/>
    <x v="866"/>
    <x v="1"/>
    <x v="3"/>
  </r>
  <r>
    <x v="772"/>
    <x v="43"/>
    <x v="1"/>
    <x v="0"/>
    <x v="875"/>
    <x v="2"/>
    <x v="1091"/>
    <x v="909"/>
    <x v="1"/>
    <x v="1"/>
  </r>
  <r>
    <x v="773"/>
    <x v="44"/>
    <x v="2"/>
    <x v="1"/>
    <x v="884"/>
    <x v="0"/>
    <x v="525"/>
    <x v="845"/>
    <x v="1"/>
    <x v="4"/>
  </r>
  <r>
    <x v="774"/>
    <x v="45"/>
    <x v="3"/>
    <x v="2"/>
    <x v="893"/>
    <x v="1"/>
    <x v="897"/>
    <x v="893"/>
    <x v="1"/>
    <x v="2"/>
  </r>
  <r>
    <x v="775"/>
    <x v="46"/>
    <x v="0"/>
    <x v="0"/>
    <x v="902"/>
    <x v="2"/>
    <x v="1100"/>
    <x v="939"/>
    <x v="1"/>
    <x v="0"/>
  </r>
  <r>
    <x v="776"/>
    <x v="47"/>
    <x v="4"/>
    <x v="1"/>
    <x v="911"/>
    <x v="0"/>
    <x v="550"/>
    <x v="871"/>
    <x v="0"/>
    <x v="3"/>
  </r>
  <r>
    <x v="777"/>
    <x v="48"/>
    <x v="1"/>
    <x v="2"/>
    <x v="920"/>
    <x v="1"/>
    <x v="909"/>
    <x v="920"/>
    <x v="1"/>
    <x v="1"/>
  </r>
  <r>
    <x v="778"/>
    <x v="49"/>
    <x v="2"/>
    <x v="0"/>
    <x v="929"/>
    <x v="2"/>
    <x v="1109"/>
    <x v="969"/>
    <x v="1"/>
    <x v="4"/>
  </r>
  <r>
    <x v="779"/>
    <x v="50"/>
    <x v="3"/>
    <x v="1"/>
    <x v="938"/>
    <x v="0"/>
    <x v="560"/>
    <x v="896"/>
    <x v="1"/>
    <x v="2"/>
  </r>
  <r>
    <x v="780"/>
    <x v="51"/>
    <x v="0"/>
    <x v="2"/>
    <x v="947"/>
    <x v="1"/>
    <x v="924"/>
    <x v="947"/>
    <x v="1"/>
    <x v="0"/>
  </r>
  <r>
    <x v="781"/>
    <x v="52"/>
    <x v="4"/>
    <x v="0"/>
    <x v="956"/>
    <x v="2"/>
    <x v="1118"/>
    <x v="999"/>
    <x v="1"/>
    <x v="3"/>
  </r>
  <r>
    <x v="782"/>
    <x v="53"/>
    <x v="1"/>
    <x v="1"/>
    <x v="965"/>
    <x v="0"/>
    <x v="579"/>
    <x v="919"/>
    <x v="1"/>
    <x v="1"/>
  </r>
  <r>
    <x v="783"/>
    <x v="54"/>
    <x v="2"/>
    <x v="2"/>
    <x v="974"/>
    <x v="1"/>
    <x v="942"/>
    <x v="974"/>
    <x v="0"/>
    <x v="4"/>
  </r>
  <r>
    <x v="784"/>
    <x v="55"/>
    <x v="3"/>
    <x v="0"/>
    <x v="983"/>
    <x v="2"/>
    <x v="1127"/>
    <x v="1029"/>
    <x v="1"/>
    <x v="2"/>
  </r>
  <r>
    <x v="785"/>
    <x v="56"/>
    <x v="0"/>
    <x v="1"/>
    <x v="992"/>
    <x v="0"/>
    <x v="595"/>
    <x v="943"/>
    <x v="1"/>
    <x v="0"/>
  </r>
  <r>
    <x v="786"/>
    <x v="57"/>
    <x v="4"/>
    <x v="2"/>
    <x v="1001"/>
    <x v="1"/>
    <x v="954"/>
    <x v="1001"/>
    <x v="1"/>
    <x v="3"/>
  </r>
  <r>
    <x v="787"/>
    <x v="58"/>
    <x v="1"/>
    <x v="0"/>
    <x v="1010"/>
    <x v="2"/>
    <x v="1136"/>
    <x v="1057"/>
    <x v="1"/>
    <x v="1"/>
  </r>
  <r>
    <x v="788"/>
    <x v="59"/>
    <x v="2"/>
    <x v="1"/>
    <x v="1019"/>
    <x v="0"/>
    <x v="614"/>
    <x v="967"/>
    <x v="1"/>
    <x v="4"/>
  </r>
  <r>
    <x v="789"/>
    <x v="60"/>
    <x v="3"/>
    <x v="2"/>
    <x v="1028"/>
    <x v="1"/>
    <x v="969"/>
    <x v="1028"/>
    <x v="1"/>
    <x v="2"/>
  </r>
  <r>
    <x v="790"/>
    <x v="61"/>
    <x v="0"/>
    <x v="0"/>
    <x v="1037"/>
    <x v="2"/>
    <x v="1145"/>
    <x v="1083"/>
    <x v="0"/>
    <x v="0"/>
  </r>
  <r>
    <x v="791"/>
    <x v="62"/>
    <x v="4"/>
    <x v="1"/>
    <x v="1046"/>
    <x v="0"/>
    <x v="624"/>
    <x v="991"/>
    <x v="1"/>
    <x v="3"/>
  </r>
  <r>
    <x v="792"/>
    <x v="63"/>
    <x v="1"/>
    <x v="2"/>
    <x v="1055"/>
    <x v="1"/>
    <x v="987"/>
    <x v="1054"/>
    <x v="1"/>
    <x v="1"/>
  </r>
  <r>
    <x v="793"/>
    <x v="64"/>
    <x v="2"/>
    <x v="0"/>
    <x v="1064"/>
    <x v="2"/>
    <x v="1154"/>
    <x v="1109"/>
    <x v="1"/>
    <x v="4"/>
  </r>
  <r>
    <x v="794"/>
    <x v="65"/>
    <x v="3"/>
    <x v="1"/>
    <x v="1073"/>
    <x v="0"/>
    <x v="649"/>
    <x v="1017"/>
    <x v="1"/>
    <x v="2"/>
  </r>
  <r>
    <x v="795"/>
    <x v="66"/>
    <x v="0"/>
    <x v="2"/>
    <x v="1081"/>
    <x v="1"/>
    <x v="998"/>
    <x v="1078"/>
    <x v="1"/>
    <x v="0"/>
  </r>
  <r>
    <x v="796"/>
    <x v="67"/>
    <x v="4"/>
    <x v="0"/>
    <x v="1089"/>
    <x v="2"/>
    <x v="1162"/>
    <x v="1134"/>
    <x v="1"/>
    <x v="3"/>
  </r>
  <r>
    <x v="797"/>
    <x v="68"/>
    <x v="1"/>
    <x v="1"/>
    <x v="1097"/>
    <x v="0"/>
    <x v="658"/>
    <x v="1043"/>
    <x v="0"/>
    <x v="1"/>
  </r>
  <r>
    <x v="798"/>
    <x v="69"/>
    <x v="2"/>
    <x v="2"/>
    <x v="1105"/>
    <x v="1"/>
    <x v="1012"/>
    <x v="1102"/>
    <x v="1"/>
    <x v="4"/>
  </r>
  <r>
    <x v="799"/>
    <x v="70"/>
    <x v="3"/>
    <x v="0"/>
    <x v="1113"/>
    <x v="2"/>
    <x v="1170"/>
    <x v="1159"/>
    <x v="1"/>
    <x v="2"/>
  </r>
  <r>
    <x v="800"/>
    <x v="71"/>
    <x v="0"/>
    <x v="1"/>
    <x v="1121"/>
    <x v="0"/>
    <x v="676"/>
    <x v="1069"/>
    <x v="1"/>
    <x v="0"/>
  </r>
  <r>
    <x v="801"/>
    <x v="72"/>
    <x v="4"/>
    <x v="2"/>
    <x v="1129"/>
    <x v="1"/>
    <x v="1029"/>
    <x v="1127"/>
    <x v="1"/>
    <x v="3"/>
  </r>
  <r>
    <x v="802"/>
    <x v="73"/>
    <x v="1"/>
    <x v="0"/>
    <x v="1137"/>
    <x v="2"/>
    <x v="1178"/>
    <x v="1175"/>
    <x v="1"/>
    <x v="1"/>
  </r>
  <r>
    <x v="803"/>
    <x v="74"/>
    <x v="2"/>
    <x v="1"/>
    <x v="1145"/>
    <x v="0"/>
    <x v="691"/>
    <x v="1094"/>
    <x v="1"/>
    <x v="4"/>
  </r>
  <r>
    <x v="804"/>
    <x v="75"/>
    <x v="3"/>
    <x v="2"/>
    <x v="1153"/>
    <x v="1"/>
    <x v="1040"/>
    <x v="1151"/>
    <x v="0"/>
    <x v="2"/>
  </r>
  <r>
    <x v="805"/>
    <x v="76"/>
    <x v="0"/>
    <x v="0"/>
    <x v="1161"/>
    <x v="2"/>
    <x v="1186"/>
    <x v="1184"/>
    <x v="1"/>
    <x v="0"/>
  </r>
  <r>
    <x v="806"/>
    <x v="77"/>
    <x v="4"/>
    <x v="1"/>
    <x v="1169"/>
    <x v="0"/>
    <x v="709"/>
    <x v="1119"/>
    <x v="1"/>
    <x v="3"/>
  </r>
  <r>
    <x v="807"/>
    <x v="78"/>
    <x v="1"/>
    <x v="2"/>
    <x v="1177"/>
    <x v="1"/>
    <x v="1054"/>
    <x v="1167"/>
    <x v="1"/>
    <x v="1"/>
  </r>
  <r>
    <x v="808"/>
    <x v="79"/>
    <x v="2"/>
    <x v="0"/>
    <x v="1185"/>
    <x v="2"/>
    <x v="1194"/>
    <x v="1192"/>
    <x v="1"/>
    <x v="4"/>
  </r>
  <r>
    <x v="809"/>
    <x v="80"/>
    <x v="3"/>
    <x v="1"/>
    <x v="1193"/>
    <x v="0"/>
    <x v="718"/>
    <x v="1143"/>
    <x v="1"/>
    <x v="2"/>
  </r>
  <r>
    <x v="810"/>
    <x v="81"/>
    <x v="0"/>
    <x v="2"/>
    <x v="1"/>
    <x v="1"/>
    <x v="10"/>
    <x v="1"/>
    <x v="1"/>
    <x v="0"/>
  </r>
  <r>
    <x v="811"/>
    <x v="82"/>
    <x v="4"/>
    <x v="0"/>
    <x v="10"/>
    <x v="2"/>
    <x v="38"/>
    <x v="10"/>
    <x v="0"/>
    <x v="3"/>
  </r>
  <r>
    <x v="812"/>
    <x v="83"/>
    <x v="1"/>
    <x v="1"/>
    <x v="19"/>
    <x v="0"/>
    <x v="2"/>
    <x v="17"/>
    <x v="1"/>
    <x v="1"/>
  </r>
  <r>
    <x v="813"/>
    <x v="84"/>
    <x v="2"/>
    <x v="2"/>
    <x v="28"/>
    <x v="1"/>
    <x v="40"/>
    <x v="28"/>
    <x v="1"/>
    <x v="4"/>
  </r>
  <r>
    <x v="814"/>
    <x v="85"/>
    <x v="3"/>
    <x v="0"/>
    <x v="37"/>
    <x v="2"/>
    <x v="90"/>
    <x v="37"/>
    <x v="1"/>
    <x v="2"/>
  </r>
  <r>
    <x v="815"/>
    <x v="86"/>
    <x v="0"/>
    <x v="1"/>
    <x v="46"/>
    <x v="0"/>
    <x v="19"/>
    <x v="42"/>
    <x v="1"/>
    <x v="0"/>
  </r>
  <r>
    <x v="816"/>
    <x v="87"/>
    <x v="4"/>
    <x v="2"/>
    <x v="55"/>
    <x v="1"/>
    <x v="73"/>
    <x v="55"/>
    <x v="1"/>
    <x v="3"/>
  </r>
  <r>
    <x v="817"/>
    <x v="88"/>
    <x v="1"/>
    <x v="0"/>
    <x v="64"/>
    <x v="2"/>
    <x v="137"/>
    <x v="66"/>
    <x v="1"/>
    <x v="1"/>
  </r>
  <r>
    <x v="818"/>
    <x v="89"/>
    <x v="2"/>
    <x v="1"/>
    <x v="73"/>
    <x v="0"/>
    <x v="29"/>
    <x v="67"/>
    <x v="0"/>
    <x v="4"/>
  </r>
  <r>
    <x v="819"/>
    <x v="90"/>
    <x v="3"/>
    <x v="2"/>
    <x v="82"/>
    <x v="1"/>
    <x v="109"/>
    <x v="82"/>
    <x v="1"/>
    <x v="2"/>
  </r>
  <r>
    <x v="820"/>
    <x v="91"/>
    <x v="0"/>
    <x v="0"/>
    <x v="91"/>
    <x v="2"/>
    <x v="189"/>
    <x v="95"/>
    <x v="1"/>
    <x v="0"/>
  </r>
  <r>
    <x v="821"/>
    <x v="92"/>
    <x v="4"/>
    <x v="1"/>
    <x v="100"/>
    <x v="0"/>
    <x v="54"/>
    <x v="92"/>
    <x v="1"/>
    <x v="3"/>
  </r>
  <r>
    <x v="822"/>
    <x v="93"/>
    <x v="1"/>
    <x v="2"/>
    <x v="109"/>
    <x v="1"/>
    <x v="139"/>
    <x v="109"/>
    <x v="1"/>
    <x v="1"/>
  </r>
  <r>
    <x v="823"/>
    <x v="94"/>
    <x v="2"/>
    <x v="0"/>
    <x v="118"/>
    <x v="2"/>
    <x v="236"/>
    <x v="124"/>
    <x v="1"/>
    <x v="4"/>
  </r>
  <r>
    <x v="824"/>
    <x v="95"/>
    <x v="3"/>
    <x v="1"/>
    <x v="127"/>
    <x v="0"/>
    <x v="64"/>
    <x v="118"/>
    <x v="1"/>
    <x v="2"/>
  </r>
  <r>
    <x v="825"/>
    <x v="96"/>
    <x v="0"/>
    <x v="2"/>
    <x v="136"/>
    <x v="1"/>
    <x v="172"/>
    <x v="136"/>
    <x v="0"/>
    <x v="0"/>
  </r>
  <r>
    <x v="826"/>
    <x v="97"/>
    <x v="4"/>
    <x v="0"/>
    <x v="145"/>
    <x v="2"/>
    <x v="288"/>
    <x v="153"/>
    <x v="1"/>
    <x v="3"/>
  </r>
  <r>
    <x v="827"/>
    <x v="98"/>
    <x v="1"/>
    <x v="1"/>
    <x v="154"/>
    <x v="0"/>
    <x v="83"/>
    <x v="145"/>
    <x v="1"/>
    <x v="1"/>
  </r>
  <r>
    <x v="828"/>
    <x v="99"/>
    <x v="2"/>
    <x v="2"/>
    <x v="163"/>
    <x v="1"/>
    <x v="208"/>
    <x v="163"/>
    <x v="1"/>
    <x v="4"/>
  </r>
  <r>
    <x v="829"/>
    <x v="100"/>
    <x v="3"/>
    <x v="0"/>
    <x v="172"/>
    <x v="2"/>
    <x v="335"/>
    <x v="181"/>
    <x v="1"/>
    <x v="2"/>
  </r>
  <r>
    <x v="830"/>
    <x v="101"/>
    <x v="0"/>
    <x v="1"/>
    <x v="181"/>
    <x v="0"/>
    <x v="99"/>
    <x v="172"/>
    <x v="1"/>
    <x v="0"/>
  </r>
  <r>
    <x v="831"/>
    <x v="102"/>
    <x v="4"/>
    <x v="2"/>
    <x v="190"/>
    <x v="1"/>
    <x v="238"/>
    <x v="190"/>
    <x v="1"/>
    <x v="3"/>
  </r>
  <r>
    <x v="832"/>
    <x v="103"/>
    <x v="1"/>
    <x v="0"/>
    <x v="199"/>
    <x v="2"/>
    <x v="387"/>
    <x v="208"/>
    <x v="0"/>
    <x v="1"/>
  </r>
  <r>
    <x v="833"/>
    <x v="104"/>
    <x v="2"/>
    <x v="1"/>
    <x v="208"/>
    <x v="0"/>
    <x v="118"/>
    <x v="199"/>
    <x v="1"/>
    <x v="4"/>
  </r>
  <r>
    <x v="834"/>
    <x v="105"/>
    <x v="3"/>
    <x v="2"/>
    <x v="217"/>
    <x v="1"/>
    <x v="271"/>
    <x v="217"/>
    <x v="1"/>
    <x v="2"/>
  </r>
  <r>
    <x v="835"/>
    <x v="106"/>
    <x v="0"/>
    <x v="0"/>
    <x v="226"/>
    <x v="2"/>
    <x v="434"/>
    <x v="235"/>
    <x v="1"/>
    <x v="0"/>
  </r>
  <r>
    <x v="836"/>
    <x v="107"/>
    <x v="4"/>
    <x v="1"/>
    <x v="235"/>
    <x v="0"/>
    <x v="128"/>
    <x v="225"/>
    <x v="1"/>
    <x v="3"/>
  </r>
  <r>
    <x v="837"/>
    <x v="108"/>
    <x v="1"/>
    <x v="2"/>
    <x v="244"/>
    <x v="1"/>
    <x v="307"/>
    <x v="243"/>
    <x v="1"/>
    <x v="1"/>
  </r>
  <r>
    <x v="838"/>
    <x v="109"/>
    <x v="2"/>
    <x v="0"/>
    <x v="253"/>
    <x v="2"/>
    <x v="486"/>
    <x v="262"/>
    <x v="1"/>
    <x v="4"/>
  </r>
  <r>
    <x v="839"/>
    <x v="110"/>
    <x v="3"/>
    <x v="1"/>
    <x v="262"/>
    <x v="0"/>
    <x v="153"/>
    <x v="251"/>
    <x v="0"/>
    <x v="2"/>
  </r>
  <r>
    <x v="840"/>
    <x v="111"/>
    <x v="0"/>
    <x v="2"/>
    <x v="271"/>
    <x v="1"/>
    <x v="337"/>
    <x v="269"/>
    <x v="1"/>
    <x v="0"/>
  </r>
  <r>
    <x v="841"/>
    <x v="112"/>
    <x v="4"/>
    <x v="0"/>
    <x v="280"/>
    <x v="2"/>
    <x v="533"/>
    <x v="289"/>
    <x v="1"/>
    <x v="3"/>
  </r>
  <r>
    <x v="842"/>
    <x v="113"/>
    <x v="1"/>
    <x v="1"/>
    <x v="289"/>
    <x v="0"/>
    <x v="163"/>
    <x v="277"/>
    <x v="1"/>
    <x v="1"/>
  </r>
  <r>
    <x v="843"/>
    <x v="114"/>
    <x v="2"/>
    <x v="2"/>
    <x v="298"/>
    <x v="1"/>
    <x v="370"/>
    <x v="295"/>
    <x v="1"/>
    <x v="4"/>
  </r>
  <r>
    <x v="844"/>
    <x v="115"/>
    <x v="3"/>
    <x v="0"/>
    <x v="307"/>
    <x v="2"/>
    <x v="585"/>
    <x v="316"/>
    <x v="1"/>
    <x v="2"/>
  </r>
  <r>
    <x v="845"/>
    <x v="116"/>
    <x v="0"/>
    <x v="1"/>
    <x v="316"/>
    <x v="0"/>
    <x v="182"/>
    <x v="302"/>
    <x v="1"/>
    <x v="0"/>
  </r>
  <r>
    <x v="846"/>
    <x v="117"/>
    <x v="4"/>
    <x v="2"/>
    <x v="325"/>
    <x v="1"/>
    <x v="406"/>
    <x v="322"/>
    <x v="0"/>
    <x v="3"/>
  </r>
  <r>
    <x v="847"/>
    <x v="118"/>
    <x v="1"/>
    <x v="0"/>
    <x v="334"/>
    <x v="2"/>
    <x v="632"/>
    <x v="344"/>
    <x v="1"/>
    <x v="1"/>
  </r>
  <r>
    <x v="848"/>
    <x v="119"/>
    <x v="2"/>
    <x v="1"/>
    <x v="343"/>
    <x v="0"/>
    <x v="198"/>
    <x v="326"/>
    <x v="1"/>
    <x v="4"/>
  </r>
  <r>
    <x v="849"/>
    <x v="120"/>
    <x v="3"/>
    <x v="2"/>
    <x v="352"/>
    <x v="1"/>
    <x v="436"/>
    <x v="348"/>
    <x v="1"/>
    <x v="2"/>
  </r>
  <r>
    <x v="850"/>
    <x v="121"/>
    <x v="0"/>
    <x v="0"/>
    <x v="361"/>
    <x v="2"/>
    <x v="682"/>
    <x v="374"/>
    <x v="1"/>
    <x v="0"/>
  </r>
  <r>
    <x v="851"/>
    <x v="122"/>
    <x v="4"/>
    <x v="1"/>
    <x v="370"/>
    <x v="0"/>
    <x v="217"/>
    <x v="349"/>
    <x v="1"/>
    <x v="3"/>
  </r>
  <r>
    <x v="852"/>
    <x v="123"/>
    <x v="1"/>
    <x v="2"/>
    <x v="379"/>
    <x v="1"/>
    <x v="469"/>
    <x v="376"/>
    <x v="1"/>
    <x v="1"/>
  </r>
  <r>
    <x v="853"/>
    <x v="124"/>
    <x v="2"/>
    <x v="0"/>
    <x v="388"/>
    <x v="2"/>
    <x v="726"/>
    <x v="404"/>
    <x v="0"/>
    <x v="4"/>
  </r>
  <r>
    <x v="854"/>
    <x v="125"/>
    <x v="3"/>
    <x v="1"/>
    <x v="397"/>
    <x v="0"/>
    <x v="227"/>
    <x v="373"/>
    <x v="1"/>
    <x v="2"/>
  </r>
  <r>
    <x v="855"/>
    <x v="126"/>
    <x v="0"/>
    <x v="2"/>
    <x v="406"/>
    <x v="1"/>
    <x v="505"/>
    <x v="403"/>
    <x v="1"/>
    <x v="0"/>
  </r>
  <r>
    <x v="856"/>
    <x v="127"/>
    <x v="4"/>
    <x v="0"/>
    <x v="415"/>
    <x v="2"/>
    <x v="752"/>
    <x v="434"/>
    <x v="1"/>
    <x v="3"/>
  </r>
  <r>
    <x v="857"/>
    <x v="128"/>
    <x v="1"/>
    <x v="1"/>
    <x v="424"/>
    <x v="0"/>
    <x v="252"/>
    <x v="397"/>
    <x v="1"/>
    <x v="1"/>
  </r>
  <r>
    <x v="858"/>
    <x v="129"/>
    <x v="2"/>
    <x v="2"/>
    <x v="433"/>
    <x v="1"/>
    <x v="535"/>
    <x v="430"/>
    <x v="1"/>
    <x v="4"/>
  </r>
  <r>
    <x v="859"/>
    <x v="130"/>
    <x v="3"/>
    <x v="0"/>
    <x v="442"/>
    <x v="2"/>
    <x v="772"/>
    <x v="464"/>
    <x v="1"/>
    <x v="2"/>
  </r>
  <r>
    <x v="860"/>
    <x v="131"/>
    <x v="0"/>
    <x v="1"/>
    <x v="451"/>
    <x v="0"/>
    <x v="262"/>
    <x v="423"/>
    <x v="0"/>
    <x v="0"/>
  </r>
  <r>
    <x v="861"/>
    <x v="132"/>
    <x v="4"/>
    <x v="2"/>
    <x v="460"/>
    <x v="1"/>
    <x v="568"/>
    <x v="457"/>
    <x v="1"/>
    <x v="3"/>
  </r>
  <r>
    <x v="862"/>
    <x v="133"/>
    <x v="1"/>
    <x v="0"/>
    <x v="469"/>
    <x v="2"/>
    <x v="797"/>
    <x v="492"/>
    <x v="1"/>
    <x v="1"/>
  </r>
  <r>
    <x v="863"/>
    <x v="134"/>
    <x v="2"/>
    <x v="1"/>
    <x v="478"/>
    <x v="0"/>
    <x v="281"/>
    <x v="450"/>
    <x v="1"/>
    <x v="4"/>
  </r>
  <r>
    <x v="864"/>
    <x v="135"/>
    <x v="3"/>
    <x v="2"/>
    <x v="487"/>
    <x v="1"/>
    <x v="604"/>
    <x v="485"/>
    <x v="1"/>
    <x v="2"/>
  </r>
  <r>
    <x v="865"/>
    <x v="136"/>
    <x v="0"/>
    <x v="0"/>
    <x v="496"/>
    <x v="2"/>
    <x v="817"/>
    <x v="520"/>
    <x v="1"/>
    <x v="0"/>
  </r>
  <r>
    <x v="866"/>
    <x v="137"/>
    <x v="4"/>
    <x v="1"/>
    <x v="505"/>
    <x v="0"/>
    <x v="297"/>
    <x v="477"/>
    <x v="1"/>
    <x v="3"/>
  </r>
  <r>
    <x v="867"/>
    <x v="138"/>
    <x v="1"/>
    <x v="2"/>
    <x v="514"/>
    <x v="1"/>
    <x v="634"/>
    <x v="513"/>
    <x v="0"/>
    <x v="1"/>
  </r>
  <r>
    <x v="868"/>
    <x v="139"/>
    <x v="2"/>
    <x v="0"/>
    <x v="523"/>
    <x v="2"/>
    <x v="842"/>
    <x v="548"/>
    <x v="1"/>
    <x v="4"/>
  </r>
  <r>
    <x v="869"/>
    <x v="140"/>
    <x v="3"/>
    <x v="1"/>
    <x v="532"/>
    <x v="0"/>
    <x v="316"/>
    <x v="504"/>
    <x v="1"/>
    <x v="2"/>
  </r>
  <r>
    <x v="870"/>
    <x v="141"/>
    <x v="0"/>
    <x v="2"/>
    <x v="541"/>
    <x v="1"/>
    <x v="666"/>
    <x v="540"/>
    <x v="1"/>
    <x v="0"/>
  </r>
  <r>
    <x v="871"/>
    <x v="142"/>
    <x v="4"/>
    <x v="0"/>
    <x v="550"/>
    <x v="2"/>
    <x v="862"/>
    <x v="576"/>
    <x v="1"/>
    <x v="3"/>
  </r>
  <r>
    <x v="872"/>
    <x v="143"/>
    <x v="1"/>
    <x v="1"/>
    <x v="559"/>
    <x v="0"/>
    <x v="326"/>
    <x v="531"/>
    <x v="1"/>
    <x v="1"/>
  </r>
  <r>
    <x v="873"/>
    <x v="144"/>
    <x v="2"/>
    <x v="2"/>
    <x v="568"/>
    <x v="1"/>
    <x v="700"/>
    <x v="567"/>
    <x v="1"/>
    <x v="4"/>
  </r>
  <r>
    <x v="874"/>
    <x v="145"/>
    <x v="3"/>
    <x v="0"/>
    <x v="577"/>
    <x v="2"/>
    <x v="887"/>
    <x v="603"/>
    <x v="0"/>
    <x v="2"/>
  </r>
  <r>
    <x v="875"/>
    <x v="146"/>
    <x v="0"/>
    <x v="1"/>
    <x v="586"/>
    <x v="0"/>
    <x v="351"/>
    <x v="558"/>
    <x v="1"/>
    <x v="0"/>
  </r>
  <r>
    <x v="876"/>
    <x v="147"/>
    <x v="4"/>
    <x v="2"/>
    <x v="595"/>
    <x v="1"/>
    <x v="728"/>
    <x v="594"/>
    <x v="1"/>
    <x v="3"/>
  </r>
  <r>
    <x v="877"/>
    <x v="148"/>
    <x v="1"/>
    <x v="0"/>
    <x v="604"/>
    <x v="2"/>
    <x v="907"/>
    <x v="630"/>
    <x v="1"/>
    <x v="1"/>
  </r>
  <r>
    <x v="878"/>
    <x v="149"/>
    <x v="2"/>
    <x v="1"/>
    <x v="613"/>
    <x v="0"/>
    <x v="361"/>
    <x v="585"/>
    <x v="1"/>
    <x v="4"/>
  </r>
  <r>
    <x v="879"/>
    <x v="150"/>
    <x v="3"/>
    <x v="2"/>
    <x v="622"/>
    <x v="1"/>
    <x v="743"/>
    <x v="621"/>
    <x v="1"/>
    <x v="2"/>
  </r>
  <r>
    <x v="880"/>
    <x v="151"/>
    <x v="0"/>
    <x v="0"/>
    <x v="631"/>
    <x v="2"/>
    <x v="932"/>
    <x v="659"/>
    <x v="1"/>
    <x v="0"/>
  </r>
  <r>
    <x v="881"/>
    <x v="152"/>
    <x v="4"/>
    <x v="1"/>
    <x v="640"/>
    <x v="0"/>
    <x v="380"/>
    <x v="610"/>
    <x v="0"/>
    <x v="3"/>
  </r>
  <r>
    <x v="882"/>
    <x v="153"/>
    <x v="1"/>
    <x v="2"/>
    <x v="649"/>
    <x v="1"/>
    <x v="761"/>
    <x v="648"/>
    <x v="1"/>
    <x v="1"/>
  </r>
  <r>
    <x v="883"/>
    <x v="154"/>
    <x v="2"/>
    <x v="0"/>
    <x v="658"/>
    <x v="2"/>
    <x v="952"/>
    <x v="688"/>
    <x v="1"/>
    <x v="4"/>
  </r>
  <r>
    <x v="884"/>
    <x v="155"/>
    <x v="3"/>
    <x v="1"/>
    <x v="667"/>
    <x v="0"/>
    <x v="396"/>
    <x v="635"/>
    <x v="1"/>
    <x v="2"/>
  </r>
  <r>
    <x v="885"/>
    <x v="156"/>
    <x v="0"/>
    <x v="2"/>
    <x v="676"/>
    <x v="1"/>
    <x v="773"/>
    <x v="675"/>
    <x v="1"/>
    <x v="0"/>
  </r>
  <r>
    <x v="886"/>
    <x v="157"/>
    <x v="4"/>
    <x v="0"/>
    <x v="685"/>
    <x v="2"/>
    <x v="977"/>
    <x v="717"/>
    <x v="1"/>
    <x v="3"/>
  </r>
  <r>
    <x v="887"/>
    <x v="158"/>
    <x v="1"/>
    <x v="1"/>
    <x v="694"/>
    <x v="0"/>
    <x v="415"/>
    <x v="660"/>
    <x v="1"/>
    <x v="1"/>
  </r>
  <r>
    <x v="888"/>
    <x v="159"/>
    <x v="2"/>
    <x v="2"/>
    <x v="703"/>
    <x v="1"/>
    <x v="788"/>
    <x v="702"/>
    <x v="0"/>
    <x v="4"/>
  </r>
  <r>
    <x v="889"/>
    <x v="160"/>
    <x v="3"/>
    <x v="0"/>
    <x v="712"/>
    <x v="2"/>
    <x v="996"/>
    <x v="746"/>
    <x v="1"/>
    <x v="2"/>
  </r>
  <r>
    <x v="890"/>
    <x v="161"/>
    <x v="0"/>
    <x v="1"/>
    <x v="721"/>
    <x v="0"/>
    <x v="425"/>
    <x v="685"/>
    <x v="1"/>
    <x v="0"/>
  </r>
  <r>
    <x v="891"/>
    <x v="162"/>
    <x v="4"/>
    <x v="2"/>
    <x v="730"/>
    <x v="1"/>
    <x v="806"/>
    <x v="729"/>
    <x v="1"/>
    <x v="3"/>
  </r>
  <r>
    <x v="892"/>
    <x v="163"/>
    <x v="1"/>
    <x v="0"/>
    <x v="739"/>
    <x v="2"/>
    <x v="1020"/>
    <x v="774"/>
    <x v="1"/>
    <x v="1"/>
  </r>
  <r>
    <x v="893"/>
    <x v="164"/>
    <x v="2"/>
    <x v="1"/>
    <x v="748"/>
    <x v="0"/>
    <x v="450"/>
    <x v="711"/>
    <x v="1"/>
    <x v="4"/>
  </r>
  <r>
    <x v="894"/>
    <x v="165"/>
    <x v="3"/>
    <x v="2"/>
    <x v="757"/>
    <x v="1"/>
    <x v="818"/>
    <x v="756"/>
    <x v="1"/>
    <x v="2"/>
  </r>
  <r>
    <x v="895"/>
    <x v="166"/>
    <x v="0"/>
    <x v="0"/>
    <x v="766"/>
    <x v="2"/>
    <x v="1038"/>
    <x v="801"/>
    <x v="0"/>
    <x v="0"/>
  </r>
  <r>
    <x v="896"/>
    <x v="167"/>
    <x v="4"/>
    <x v="1"/>
    <x v="775"/>
    <x v="0"/>
    <x v="460"/>
    <x v="738"/>
    <x v="1"/>
    <x v="3"/>
  </r>
  <r>
    <x v="897"/>
    <x v="168"/>
    <x v="1"/>
    <x v="2"/>
    <x v="784"/>
    <x v="1"/>
    <x v="833"/>
    <x v="783"/>
    <x v="1"/>
    <x v="1"/>
  </r>
  <r>
    <x v="898"/>
    <x v="169"/>
    <x v="2"/>
    <x v="0"/>
    <x v="793"/>
    <x v="2"/>
    <x v="1062"/>
    <x v="828"/>
    <x v="1"/>
    <x v="4"/>
  </r>
  <r>
    <x v="899"/>
    <x v="170"/>
    <x v="3"/>
    <x v="1"/>
    <x v="802"/>
    <x v="0"/>
    <x v="479"/>
    <x v="765"/>
    <x v="1"/>
    <x v="2"/>
  </r>
  <r>
    <x v="900"/>
    <x v="171"/>
    <x v="0"/>
    <x v="2"/>
    <x v="811"/>
    <x v="1"/>
    <x v="851"/>
    <x v="810"/>
    <x v="1"/>
    <x v="0"/>
  </r>
  <r>
    <x v="901"/>
    <x v="172"/>
    <x v="4"/>
    <x v="0"/>
    <x v="820"/>
    <x v="2"/>
    <x v="1072"/>
    <x v="855"/>
    <x v="1"/>
    <x v="3"/>
  </r>
  <r>
    <x v="902"/>
    <x v="173"/>
    <x v="1"/>
    <x v="1"/>
    <x v="829"/>
    <x v="0"/>
    <x v="495"/>
    <x v="791"/>
    <x v="0"/>
    <x v="1"/>
  </r>
  <r>
    <x v="903"/>
    <x v="174"/>
    <x v="2"/>
    <x v="2"/>
    <x v="838"/>
    <x v="1"/>
    <x v="863"/>
    <x v="837"/>
    <x v="1"/>
    <x v="4"/>
  </r>
  <r>
    <x v="904"/>
    <x v="175"/>
    <x v="3"/>
    <x v="0"/>
    <x v="847"/>
    <x v="2"/>
    <x v="1081"/>
    <x v="882"/>
    <x v="1"/>
    <x v="2"/>
  </r>
  <r>
    <x v="905"/>
    <x v="176"/>
    <x v="0"/>
    <x v="1"/>
    <x v="856"/>
    <x v="0"/>
    <x v="514"/>
    <x v="817"/>
    <x v="1"/>
    <x v="0"/>
  </r>
  <r>
    <x v="906"/>
    <x v="177"/>
    <x v="4"/>
    <x v="2"/>
    <x v="865"/>
    <x v="1"/>
    <x v="878"/>
    <x v="863"/>
    <x v="1"/>
    <x v="3"/>
  </r>
  <r>
    <x v="907"/>
    <x v="178"/>
    <x v="1"/>
    <x v="0"/>
    <x v="874"/>
    <x v="2"/>
    <x v="1090"/>
    <x v="908"/>
    <x v="1"/>
    <x v="1"/>
  </r>
  <r>
    <x v="908"/>
    <x v="179"/>
    <x v="2"/>
    <x v="1"/>
    <x v="883"/>
    <x v="0"/>
    <x v="524"/>
    <x v="843"/>
    <x v="1"/>
    <x v="4"/>
  </r>
  <r>
    <x v="909"/>
    <x v="180"/>
    <x v="3"/>
    <x v="2"/>
    <x v="892"/>
    <x v="1"/>
    <x v="896"/>
    <x v="890"/>
    <x v="0"/>
    <x v="2"/>
  </r>
  <r>
    <x v="910"/>
    <x v="181"/>
    <x v="0"/>
    <x v="0"/>
    <x v="901"/>
    <x v="2"/>
    <x v="1099"/>
    <x v="936"/>
    <x v="1"/>
    <x v="0"/>
  </r>
  <r>
    <x v="911"/>
    <x v="182"/>
    <x v="4"/>
    <x v="1"/>
    <x v="910"/>
    <x v="0"/>
    <x v="549"/>
    <x v="869"/>
    <x v="1"/>
    <x v="3"/>
  </r>
  <r>
    <x v="912"/>
    <x v="183"/>
    <x v="1"/>
    <x v="2"/>
    <x v="919"/>
    <x v="1"/>
    <x v="908"/>
    <x v="916"/>
    <x v="1"/>
    <x v="1"/>
  </r>
  <r>
    <x v="913"/>
    <x v="184"/>
    <x v="2"/>
    <x v="0"/>
    <x v="928"/>
    <x v="2"/>
    <x v="1108"/>
    <x v="966"/>
    <x v="1"/>
    <x v="4"/>
  </r>
  <r>
    <x v="914"/>
    <x v="185"/>
    <x v="3"/>
    <x v="1"/>
    <x v="937"/>
    <x v="0"/>
    <x v="559"/>
    <x v="894"/>
    <x v="1"/>
    <x v="2"/>
  </r>
  <r>
    <x v="915"/>
    <x v="186"/>
    <x v="0"/>
    <x v="2"/>
    <x v="946"/>
    <x v="1"/>
    <x v="923"/>
    <x v="944"/>
    <x v="1"/>
    <x v="0"/>
  </r>
  <r>
    <x v="916"/>
    <x v="187"/>
    <x v="4"/>
    <x v="0"/>
    <x v="955"/>
    <x v="2"/>
    <x v="1117"/>
    <x v="996"/>
    <x v="0"/>
    <x v="3"/>
  </r>
  <r>
    <x v="917"/>
    <x v="188"/>
    <x v="1"/>
    <x v="1"/>
    <x v="964"/>
    <x v="0"/>
    <x v="578"/>
    <x v="917"/>
    <x v="1"/>
    <x v="1"/>
  </r>
  <r>
    <x v="918"/>
    <x v="189"/>
    <x v="2"/>
    <x v="2"/>
    <x v="973"/>
    <x v="1"/>
    <x v="941"/>
    <x v="971"/>
    <x v="1"/>
    <x v="4"/>
  </r>
  <r>
    <x v="919"/>
    <x v="190"/>
    <x v="3"/>
    <x v="0"/>
    <x v="982"/>
    <x v="2"/>
    <x v="1126"/>
    <x v="1026"/>
    <x v="1"/>
    <x v="2"/>
  </r>
  <r>
    <x v="920"/>
    <x v="191"/>
    <x v="0"/>
    <x v="1"/>
    <x v="991"/>
    <x v="0"/>
    <x v="594"/>
    <x v="941"/>
    <x v="1"/>
    <x v="0"/>
  </r>
  <r>
    <x v="921"/>
    <x v="192"/>
    <x v="4"/>
    <x v="2"/>
    <x v="1000"/>
    <x v="1"/>
    <x v="953"/>
    <x v="998"/>
    <x v="1"/>
    <x v="3"/>
  </r>
  <r>
    <x v="922"/>
    <x v="193"/>
    <x v="1"/>
    <x v="0"/>
    <x v="1009"/>
    <x v="2"/>
    <x v="1135"/>
    <x v="1055"/>
    <x v="1"/>
    <x v="1"/>
  </r>
  <r>
    <x v="923"/>
    <x v="194"/>
    <x v="2"/>
    <x v="1"/>
    <x v="1018"/>
    <x v="0"/>
    <x v="613"/>
    <x v="965"/>
    <x v="0"/>
    <x v="4"/>
  </r>
  <r>
    <x v="924"/>
    <x v="195"/>
    <x v="3"/>
    <x v="2"/>
    <x v="1027"/>
    <x v="1"/>
    <x v="968"/>
    <x v="1025"/>
    <x v="1"/>
    <x v="2"/>
  </r>
  <r>
    <x v="925"/>
    <x v="196"/>
    <x v="0"/>
    <x v="0"/>
    <x v="1036"/>
    <x v="2"/>
    <x v="1144"/>
    <x v="1081"/>
    <x v="1"/>
    <x v="0"/>
  </r>
  <r>
    <x v="926"/>
    <x v="197"/>
    <x v="4"/>
    <x v="1"/>
    <x v="1045"/>
    <x v="0"/>
    <x v="623"/>
    <x v="989"/>
    <x v="1"/>
    <x v="3"/>
  </r>
  <r>
    <x v="927"/>
    <x v="198"/>
    <x v="1"/>
    <x v="2"/>
    <x v="1054"/>
    <x v="1"/>
    <x v="986"/>
    <x v="1051"/>
    <x v="1"/>
    <x v="1"/>
  </r>
  <r>
    <x v="928"/>
    <x v="199"/>
    <x v="2"/>
    <x v="0"/>
    <x v="1063"/>
    <x v="2"/>
    <x v="1153"/>
    <x v="1107"/>
    <x v="1"/>
    <x v="4"/>
  </r>
  <r>
    <x v="929"/>
    <x v="200"/>
    <x v="3"/>
    <x v="1"/>
    <x v="1072"/>
    <x v="0"/>
    <x v="648"/>
    <x v="1016"/>
    <x v="1"/>
    <x v="2"/>
  </r>
  <r>
    <x v="930"/>
    <x v="201"/>
    <x v="0"/>
    <x v="2"/>
    <x v="1080"/>
    <x v="1"/>
    <x v="997"/>
    <x v="1076"/>
    <x v="0"/>
    <x v="0"/>
  </r>
  <r>
    <x v="931"/>
    <x v="202"/>
    <x v="4"/>
    <x v="0"/>
    <x v="1088"/>
    <x v="2"/>
    <x v="1161"/>
    <x v="1132"/>
    <x v="1"/>
    <x v="3"/>
  </r>
  <r>
    <x v="932"/>
    <x v="203"/>
    <x v="1"/>
    <x v="1"/>
    <x v="1096"/>
    <x v="0"/>
    <x v="657"/>
    <x v="1042"/>
    <x v="1"/>
    <x v="1"/>
  </r>
  <r>
    <x v="933"/>
    <x v="204"/>
    <x v="2"/>
    <x v="2"/>
    <x v="1104"/>
    <x v="1"/>
    <x v="1011"/>
    <x v="1101"/>
    <x v="1"/>
    <x v="4"/>
  </r>
  <r>
    <x v="934"/>
    <x v="205"/>
    <x v="3"/>
    <x v="0"/>
    <x v="1112"/>
    <x v="2"/>
    <x v="1169"/>
    <x v="1157"/>
    <x v="1"/>
    <x v="2"/>
  </r>
  <r>
    <x v="935"/>
    <x v="206"/>
    <x v="0"/>
    <x v="1"/>
    <x v="1120"/>
    <x v="0"/>
    <x v="675"/>
    <x v="1068"/>
    <x v="1"/>
    <x v="0"/>
  </r>
  <r>
    <x v="936"/>
    <x v="207"/>
    <x v="4"/>
    <x v="2"/>
    <x v="1128"/>
    <x v="1"/>
    <x v="1028"/>
    <x v="1126"/>
    <x v="1"/>
    <x v="3"/>
  </r>
  <r>
    <x v="937"/>
    <x v="208"/>
    <x v="1"/>
    <x v="0"/>
    <x v="1136"/>
    <x v="2"/>
    <x v="1177"/>
    <x v="1174"/>
    <x v="0"/>
    <x v="1"/>
  </r>
  <r>
    <x v="938"/>
    <x v="209"/>
    <x v="2"/>
    <x v="1"/>
    <x v="1144"/>
    <x v="0"/>
    <x v="690"/>
    <x v="1093"/>
    <x v="1"/>
    <x v="4"/>
  </r>
  <r>
    <x v="939"/>
    <x v="210"/>
    <x v="3"/>
    <x v="2"/>
    <x v="1152"/>
    <x v="1"/>
    <x v="1039"/>
    <x v="1150"/>
    <x v="1"/>
    <x v="2"/>
  </r>
  <r>
    <x v="940"/>
    <x v="211"/>
    <x v="0"/>
    <x v="0"/>
    <x v="1160"/>
    <x v="2"/>
    <x v="1185"/>
    <x v="1183"/>
    <x v="1"/>
    <x v="0"/>
  </r>
  <r>
    <x v="941"/>
    <x v="212"/>
    <x v="4"/>
    <x v="1"/>
    <x v="1168"/>
    <x v="0"/>
    <x v="708"/>
    <x v="1118"/>
    <x v="1"/>
    <x v="3"/>
  </r>
  <r>
    <x v="942"/>
    <x v="213"/>
    <x v="1"/>
    <x v="2"/>
    <x v="1176"/>
    <x v="1"/>
    <x v="1053"/>
    <x v="1166"/>
    <x v="1"/>
    <x v="1"/>
  </r>
  <r>
    <x v="943"/>
    <x v="214"/>
    <x v="2"/>
    <x v="0"/>
    <x v="1184"/>
    <x v="2"/>
    <x v="1193"/>
    <x v="1191"/>
    <x v="1"/>
    <x v="4"/>
  </r>
  <r>
    <x v="944"/>
    <x v="215"/>
    <x v="3"/>
    <x v="1"/>
    <x v="1192"/>
    <x v="0"/>
    <x v="717"/>
    <x v="1142"/>
    <x v="0"/>
    <x v="2"/>
  </r>
  <r>
    <x v="945"/>
    <x v="216"/>
    <x v="0"/>
    <x v="2"/>
    <x v="0"/>
    <x v="1"/>
    <x v="7"/>
    <x v="0"/>
    <x v="1"/>
    <x v="0"/>
  </r>
  <r>
    <x v="946"/>
    <x v="217"/>
    <x v="4"/>
    <x v="0"/>
    <x v="9"/>
    <x v="2"/>
    <x v="33"/>
    <x v="9"/>
    <x v="1"/>
    <x v="3"/>
  </r>
  <r>
    <x v="947"/>
    <x v="218"/>
    <x v="1"/>
    <x v="1"/>
    <x v="18"/>
    <x v="0"/>
    <x v="1"/>
    <x v="15"/>
    <x v="1"/>
    <x v="1"/>
  </r>
  <r>
    <x v="948"/>
    <x v="219"/>
    <x v="2"/>
    <x v="2"/>
    <x v="27"/>
    <x v="1"/>
    <x v="36"/>
    <x v="27"/>
    <x v="1"/>
    <x v="4"/>
  </r>
  <r>
    <x v="949"/>
    <x v="220"/>
    <x v="3"/>
    <x v="0"/>
    <x v="36"/>
    <x v="2"/>
    <x v="86"/>
    <x v="36"/>
    <x v="1"/>
    <x v="2"/>
  </r>
  <r>
    <x v="950"/>
    <x v="221"/>
    <x v="0"/>
    <x v="1"/>
    <x v="45"/>
    <x v="0"/>
    <x v="18"/>
    <x v="40"/>
    <x v="1"/>
    <x v="0"/>
  </r>
  <r>
    <x v="951"/>
    <x v="222"/>
    <x v="4"/>
    <x v="2"/>
    <x v="54"/>
    <x v="1"/>
    <x v="70"/>
    <x v="54"/>
    <x v="0"/>
    <x v="3"/>
  </r>
  <r>
    <x v="952"/>
    <x v="223"/>
    <x v="1"/>
    <x v="0"/>
    <x v="63"/>
    <x v="2"/>
    <x v="132"/>
    <x v="64"/>
    <x v="1"/>
    <x v="1"/>
  </r>
  <r>
    <x v="953"/>
    <x v="224"/>
    <x v="2"/>
    <x v="1"/>
    <x v="72"/>
    <x v="0"/>
    <x v="27"/>
    <x v="65"/>
    <x v="1"/>
    <x v="4"/>
  </r>
  <r>
    <x v="954"/>
    <x v="225"/>
    <x v="3"/>
    <x v="2"/>
    <x v="81"/>
    <x v="1"/>
    <x v="106"/>
    <x v="81"/>
    <x v="1"/>
    <x v="2"/>
  </r>
  <r>
    <x v="955"/>
    <x v="226"/>
    <x v="0"/>
    <x v="0"/>
    <x v="90"/>
    <x v="2"/>
    <x v="185"/>
    <x v="93"/>
    <x v="1"/>
    <x v="0"/>
  </r>
  <r>
    <x v="956"/>
    <x v="227"/>
    <x v="4"/>
    <x v="1"/>
    <x v="99"/>
    <x v="0"/>
    <x v="53"/>
    <x v="90"/>
    <x v="1"/>
    <x v="3"/>
  </r>
  <r>
    <x v="957"/>
    <x v="228"/>
    <x v="1"/>
    <x v="2"/>
    <x v="108"/>
    <x v="1"/>
    <x v="135"/>
    <x v="108"/>
    <x v="1"/>
    <x v="1"/>
  </r>
  <r>
    <x v="958"/>
    <x v="229"/>
    <x v="2"/>
    <x v="0"/>
    <x v="117"/>
    <x v="2"/>
    <x v="231"/>
    <x v="122"/>
    <x v="0"/>
    <x v="4"/>
  </r>
  <r>
    <x v="959"/>
    <x v="230"/>
    <x v="3"/>
    <x v="1"/>
    <x v="126"/>
    <x v="0"/>
    <x v="63"/>
    <x v="117"/>
    <x v="1"/>
    <x v="2"/>
  </r>
  <r>
    <x v="960"/>
    <x v="231"/>
    <x v="0"/>
    <x v="2"/>
    <x v="135"/>
    <x v="1"/>
    <x v="169"/>
    <x v="135"/>
    <x v="1"/>
    <x v="0"/>
  </r>
  <r>
    <x v="961"/>
    <x v="232"/>
    <x v="4"/>
    <x v="0"/>
    <x v="144"/>
    <x v="2"/>
    <x v="284"/>
    <x v="151"/>
    <x v="1"/>
    <x v="3"/>
  </r>
  <r>
    <x v="962"/>
    <x v="233"/>
    <x v="1"/>
    <x v="1"/>
    <x v="153"/>
    <x v="0"/>
    <x v="81"/>
    <x v="144"/>
    <x v="1"/>
    <x v="1"/>
  </r>
  <r>
    <x v="963"/>
    <x v="234"/>
    <x v="2"/>
    <x v="2"/>
    <x v="162"/>
    <x v="1"/>
    <x v="205"/>
    <x v="162"/>
    <x v="1"/>
    <x v="4"/>
  </r>
  <r>
    <x v="964"/>
    <x v="235"/>
    <x v="3"/>
    <x v="0"/>
    <x v="171"/>
    <x v="2"/>
    <x v="330"/>
    <x v="180"/>
    <x v="1"/>
    <x v="2"/>
  </r>
  <r>
    <x v="965"/>
    <x v="236"/>
    <x v="0"/>
    <x v="1"/>
    <x v="180"/>
    <x v="0"/>
    <x v="98"/>
    <x v="171"/>
    <x v="0"/>
    <x v="0"/>
  </r>
  <r>
    <x v="966"/>
    <x v="237"/>
    <x v="4"/>
    <x v="2"/>
    <x v="189"/>
    <x v="1"/>
    <x v="234"/>
    <x v="189"/>
    <x v="1"/>
    <x v="3"/>
  </r>
  <r>
    <x v="967"/>
    <x v="238"/>
    <x v="1"/>
    <x v="0"/>
    <x v="198"/>
    <x v="2"/>
    <x v="383"/>
    <x v="207"/>
    <x v="1"/>
    <x v="1"/>
  </r>
  <r>
    <x v="968"/>
    <x v="239"/>
    <x v="2"/>
    <x v="1"/>
    <x v="207"/>
    <x v="0"/>
    <x v="117"/>
    <x v="197"/>
    <x v="1"/>
    <x v="4"/>
  </r>
  <r>
    <x v="969"/>
    <x v="240"/>
    <x v="3"/>
    <x v="2"/>
    <x v="216"/>
    <x v="1"/>
    <x v="268"/>
    <x v="215"/>
    <x v="1"/>
    <x v="2"/>
  </r>
  <r>
    <x v="970"/>
    <x v="241"/>
    <x v="0"/>
    <x v="0"/>
    <x v="225"/>
    <x v="2"/>
    <x v="429"/>
    <x v="234"/>
    <x v="1"/>
    <x v="0"/>
  </r>
  <r>
    <x v="971"/>
    <x v="242"/>
    <x v="4"/>
    <x v="1"/>
    <x v="234"/>
    <x v="0"/>
    <x v="126"/>
    <x v="223"/>
    <x v="1"/>
    <x v="3"/>
  </r>
  <r>
    <x v="972"/>
    <x v="243"/>
    <x v="1"/>
    <x v="2"/>
    <x v="243"/>
    <x v="1"/>
    <x v="304"/>
    <x v="241"/>
    <x v="0"/>
    <x v="1"/>
  </r>
  <r>
    <x v="973"/>
    <x v="244"/>
    <x v="2"/>
    <x v="0"/>
    <x v="252"/>
    <x v="2"/>
    <x v="482"/>
    <x v="261"/>
    <x v="1"/>
    <x v="4"/>
  </r>
  <r>
    <x v="974"/>
    <x v="245"/>
    <x v="3"/>
    <x v="1"/>
    <x v="261"/>
    <x v="0"/>
    <x v="152"/>
    <x v="249"/>
    <x v="1"/>
    <x v="2"/>
  </r>
  <r>
    <x v="975"/>
    <x v="246"/>
    <x v="0"/>
    <x v="2"/>
    <x v="270"/>
    <x v="1"/>
    <x v="333"/>
    <x v="267"/>
    <x v="1"/>
    <x v="0"/>
  </r>
  <r>
    <x v="976"/>
    <x v="247"/>
    <x v="4"/>
    <x v="0"/>
    <x v="279"/>
    <x v="2"/>
    <x v="528"/>
    <x v="288"/>
    <x v="1"/>
    <x v="3"/>
  </r>
  <r>
    <x v="977"/>
    <x v="248"/>
    <x v="1"/>
    <x v="1"/>
    <x v="288"/>
    <x v="0"/>
    <x v="162"/>
    <x v="275"/>
    <x v="1"/>
    <x v="1"/>
  </r>
  <r>
    <x v="978"/>
    <x v="249"/>
    <x v="2"/>
    <x v="2"/>
    <x v="297"/>
    <x v="1"/>
    <x v="367"/>
    <x v="293"/>
    <x v="1"/>
    <x v="4"/>
  </r>
  <r>
    <x v="979"/>
    <x v="250"/>
    <x v="3"/>
    <x v="0"/>
    <x v="306"/>
    <x v="2"/>
    <x v="581"/>
    <x v="315"/>
    <x v="0"/>
    <x v="2"/>
  </r>
  <r>
    <x v="980"/>
    <x v="251"/>
    <x v="0"/>
    <x v="1"/>
    <x v="315"/>
    <x v="0"/>
    <x v="180"/>
    <x v="299"/>
    <x v="1"/>
    <x v="0"/>
  </r>
  <r>
    <x v="981"/>
    <x v="252"/>
    <x v="4"/>
    <x v="2"/>
    <x v="324"/>
    <x v="1"/>
    <x v="403"/>
    <x v="319"/>
    <x v="1"/>
    <x v="3"/>
  </r>
  <r>
    <x v="982"/>
    <x v="253"/>
    <x v="1"/>
    <x v="0"/>
    <x v="333"/>
    <x v="2"/>
    <x v="627"/>
    <x v="341"/>
    <x v="1"/>
    <x v="1"/>
  </r>
  <r>
    <x v="983"/>
    <x v="254"/>
    <x v="2"/>
    <x v="1"/>
    <x v="342"/>
    <x v="0"/>
    <x v="197"/>
    <x v="323"/>
    <x v="1"/>
    <x v="4"/>
  </r>
  <r>
    <x v="984"/>
    <x v="255"/>
    <x v="3"/>
    <x v="2"/>
    <x v="351"/>
    <x v="1"/>
    <x v="432"/>
    <x v="345"/>
    <x v="1"/>
    <x v="2"/>
  </r>
  <r>
    <x v="985"/>
    <x v="256"/>
    <x v="0"/>
    <x v="0"/>
    <x v="360"/>
    <x v="2"/>
    <x v="678"/>
    <x v="371"/>
    <x v="1"/>
    <x v="0"/>
  </r>
  <r>
    <x v="986"/>
    <x v="257"/>
    <x v="4"/>
    <x v="1"/>
    <x v="369"/>
    <x v="0"/>
    <x v="216"/>
    <x v="346"/>
    <x v="0"/>
    <x v="3"/>
  </r>
  <r>
    <x v="987"/>
    <x v="258"/>
    <x v="1"/>
    <x v="2"/>
    <x v="378"/>
    <x v="1"/>
    <x v="466"/>
    <x v="372"/>
    <x v="1"/>
    <x v="1"/>
  </r>
  <r>
    <x v="988"/>
    <x v="259"/>
    <x v="2"/>
    <x v="0"/>
    <x v="387"/>
    <x v="2"/>
    <x v="721"/>
    <x v="401"/>
    <x v="1"/>
    <x v="4"/>
  </r>
  <r>
    <x v="989"/>
    <x v="260"/>
    <x v="3"/>
    <x v="1"/>
    <x v="396"/>
    <x v="0"/>
    <x v="225"/>
    <x v="370"/>
    <x v="1"/>
    <x v="2"/>
  </r>
  <r>
    <x v="990"/>
    <x v="261"/>
    <x v="0"/>
    <x v="2"/>
    <x v="405"/>
    <x v="1"/>
    <x v="502"/>
    <x v="400"/>
    <x v="1"/>
    <x v="0"/>
  </r>
  <r>
    <x v="991"/>
    <x v="262"/>
    <x v="4"/>
    <x v="0"/>
    <x v="414"/>
    <x v="2"/>
    <x v="751"/>
    <x v="431"/>
    <x v="1"/>
    <x v="3"/>
  </r>
  <r>
    <x v="992"/>
    <x v="263"/>
    <x v="1"/>
    <x v="1"/>
    <x v="423"/>
    <x v="0"/>
    <x v="251"/>
    <x v="395"/>
    <x v="1"/>
    <x v="1"/>
  </r>
  <r>
    <x v="993"/>
    <x v="264"/>
    <x v="2"/>
    <x v="2"/>
    <x v="432"/>
    <x v="1"/>
    <x v="531"/>
    <x v="427"/>
    <x v="0"/>
    <x v="4"/>
  </r>
  <r>
    <x v="994"/>
    <x v="265"/>
    <x v="3"/>
    <x v="0"/>
    <x v="441"/>
    <x v="2"/>
    <x v="770"/>
    <x v="461"/>
    <x v="1"/>
    <x v="2"/>
  </r>
  <r>
    <x v="995"/>
    <x v="266"/>
    <x v="0"/>
    <x v="1"/>
    <x v="450"/>
    <x v="0"/>
    <x v="261"/>
    <x v="422"/>
    <x v="1"/>
    <x v="0"/>
  </r>
  <r>
    <x v="996"/>
    <x v="267"/>
    <x v="4"/>
    <x v="2"/>
    <x v="459"/>
    <x v="1"/>
    <x v="565"/>
    <x v="455"/>
    <x v="1"/>
    <x v="3"/>
  </r>
  <r>
    <x v="997"/>
    <x v="268"/>
    <x v="1"/>
    <x v="0"/>
    <x v="468"/>
    <x v="2"/>
    <x v="796"/>
    <x v="490"/>
    <x v="1"/>
    <x v="1"/>
  </r>
  <r>
    <x v="998"/>
    <x v="269"/>
    <x v="2"/>
    <x v="1"/>
    <x v="477"/>
    <x v="0"/>
    <x v="279"/>
    <x v="449"/>
    <x v="1"/>
    <x v="4"/>
  </r>
  <r>
    <x v="999"/>
    <x v="270"/>
    <x v="3"/>
    <x v="2"/>
    <x v="486"/>
    <x v="1"/>
    <x v="601"/>
    <x v="483"/>
    <x v="1"/>
    <x v="2"/>
  </r>
  <r>
    <x v="1000"/>
    <x v="271"/>
    <x v="0"/>
    <x v="0"/>
    <x v="495"/>
    <x v="2"/>
    <x v="815"/>
    <x v="518"/>
    <x v="0"/>
    <x v="0"/>
  </r>
  <r>
    <x v="1001"/>
    <x v="272"/>
    <x v="4"/>
    <x v="1"/>
    <x v="504"/>
    <x v="0"/>
    <x v="296"/>
    <x v="476"/>
    <x v="1"/>
    <x v="3"/>
  </r>
  <r>
    <x v="1002"/>
    <x v="273"/>
    <x v="1"/>
    <x v="2"/>
    <x v="513"/>
    <x v="1"/>
    <x v="630"/>
    <x v="511"/>
    <x v="1"/>
    <x v="1"/>
  </r>
  <r>
    <x v="1003"/>
    <x v="274"/>
    <x v="2"/>
    <x v="0"/>
    <x v="522"/>
    <x v="2"/>
    <x v="841"/>
    <x v="546"/>
    <x v="1"/>
    <x v="4"/>
  </r>
  <r>
    <x v="1004"/>
    <x v="275"/>
    <x v="3"/>
    <x v="1"/>
    <x v="531"/>
    <x v="0"/>
    <x v="315"/>
    <x v="503"/>
    <x v="1"/>
    <x v="2"/>
  </r>
  <r>
    <x v="1005"/>
    <x v="276"/>
    <x v="0"/>
    <x v="2"/>
    <x v="540"/>
    <x v="1"/>
    <x v="663"/>
    <x v="539"/>
    <x v="1"/>
    <x v="0"/>
  </r>
  <r>
    <x v="1006"/>
    <x v="277"/>
    <x v="4"/>
    <x v="0"/>
    <x v="549"/>
    <x v="2"/>
    <x v="860"/>
    <x v="574"/>
    <x v="1"/>
    <x v="3"/>
  </r>
  <r>
    <x v="1007"/>
    <x v="278"/>
    <x v="1"/>
    <x v="1"/>
    <x v="558"/>
    <x v="0"/>
    <x v="324"/>
    <x v="530"/>
    <x v="0"/>
    <x v="1"/>
  </r>
  <r>
    <x v="1008"/>
    <x v="279"/>
    <x v="2"/>
    <x v="2"/>
    <x v="567"/>
    <x v="1"/>
    <x v="697"/>
    <x v="566"/>
    <x v="1"/>
    <x v="4"/>
  </r>
  <r>
    <x v="1009"/>
    <x v="280"/>
    <x v="3"/>
    <x v="0"/>
    <x v="576"/>
    <x v="2"/>
    <x v="886"/>
    <x v="602"/>
    <x v="1"/>
    <x v="2"/>
  </r>
  <r>
    <x v="1010"/>
    <x v="281"/>
    <x v="0"/>
    <x v="1"/>
    <x v="585"/>
    <x v="0"/>
    <x v="350"/>
    <x v="557"/>
    <x v="1"/>
    <x v="0"/>
  </r>
  <r>
    <x v="1011"/>
    <x v="282"/>
    <x v="4"/>
    <x v="2"/>
    <x v="594"/>
    <x v="1"/>
    <x v="724"/>
    <x v="593"/>
    <x v="1"/>
    <x v="3"/>
  </r>
  <r>
    <x v="1012"/>
    <x v="283"/>
    <x v="1"/>
    <x v="0"/>
    <x v="603"/>
    <x v="2"/>
    <x v="905"/>
    <x v="629"/>
    <x v="1"/>
    <x v="1"/>
  </r>
  <r>
    <x v="1013"/>
    <x v="284"/>
    <x v="2"/>
    <x v="1"/>
    <x v="612"/>
    <x v="0"/>
    <x v="360"/>
    <x v="583"/>
    <x v="1"/>
    <x v="4"/>
  </r>
  <r>
    <x v="1014"/>
    <x v="285"/>
    <x v="3"/>
    <x v="2"/>
    <x v="621"/>
    <x v="1"/>
    <x v="742"/>
    <x v="620"/>
    <x v="0"/>
    <x v="2"/>
  </r>
  <r>
    <x v="1015"/>
    <x v="286"/>
    <x v="0"/>
    <x v="0"/>
    <x v="630"/>
    <x v="2"/>
    <x v="931"/>
    <x v="657"/>
    <x v="1"/>
    <x v="0"/>
  </r>
  <r>
    <x v="1016"/>
    <x v="287"/>
    <x v="4"/>
    <x v="1"/>
    <x v="639"/>
    <x v="0"/>
    <x v="378"/>
    <x v="608"/>
    <x v="1"/>
    <x v="3"/>
  </r>
  <r>
    <x v="1017"/>
    <x v="288"/>
    <x v="1"/>
    <x v="2"/>
    <x v="648"/>
    <x v="1"/>
    <x v="760"/>
    <x v="647"/>
    <x v="1"/>
    <x v="1"/>
  </r>
  <r>
    <x v="1018"/>
    <x v="289"/>
    <x v="2"/>
    <x v="0"/>
    <x v="657"/>
    <x v="2"/>
    <x v="950"/>
    <x v="686"/>
    <x v="1"/>
    <x v="4"/>
  </r>
  <r>
    <x v="1019"/>
    <x v="290"/>
    <x v="3"/>
    <x v="1"/>
    <x v="666"/>
    <x v="0"/>
    <x v="395"/>
    <x v="633"/>
    <x v="1"/>
    <x v="2"/>
  </r>
  <r>
    <x v="1020"/>
    <x v="291"/>
    <x v="0"/>
    <x v="2"/>
    <x v="675"/>
    <x v="1"/>
    <x v="771"/>
    <x v="674"/>
    <x v="1"/>
    <x v="0"/>
  </r>
  <r>
    <x v="1021"/>
    <x v="292"/>
    <x v="4"/>
    <x v="0"/>
    <x v="684"/>
    <x v="2"/>
    <x v="976"/>
    <x v="715"/>
    <x v="0"/>
    <x v="3"/>
  </r>
  <r>
    <x v="1022"/>
    <x v="293"/>
    <x v="1"/>
    <x v="1"/>
    <x v="693"/>
    <x v="0"/>
    <x v="414"/>
    <x v="658"/>
    <x v="1"/>
    <x v="1"/>
  </r>
  <r>
    <x v="1023"/>
    <x v="294"/>
    <x v="2"/>
    <x v="2"/>
    <x v="702"/>
    <x v="1"/>
    <x v="787"/>
    <x v="701"/>
    <x v="1"/>
    <x v="4"/>
  </r>
  <r>
    <x v="1024"/>
    <x v="295"/>
    <x v="3"/>
    <x v="0"/>
    <x v="711"/>
    <x v="2"/>
    <x v="994"/>
    <x v="744"/>
    <x v="1"/>
    <x v="2"/>
  </r>
  <r>
    <x v="1025"/>
    <x v="296"/>
    <x v="0"/>
    <x v="1"/>
    <x v="720"/>
    <x v="0"/>
    <x v="423"/>
    <x v="683"/>
    <x v="1"/>
    <x v="0"/>
  </r>
  <r>
    <x v="1026"/>
    <x v="297"/>
    <x v="4"/>
    <x v="2"/>
    <x v="729"/>
    <x v="1"/>
    <x v="805"/>
    <x v="728"/>
    <x v="1"/>
    <x v="3"/>
  </r>
  <r>
    <x v="1027"/>
    <x v="298"/>
    <x v="1"/>
    <x v="0"/>
    <x v="738"/>
    <x v="2"/>
    <x v="1019"/>
    <x v="773"/>
    <x v="1"/>
    <x v="1"/>
  </r>
  <r>
    <x v="1028"/>
    <x v="299"/>
    <x v="2"/>
    <x v="1"/>
    <x v="747"/>
    <x v="0"/>
    <x v="449"/>
    <x v="710"/>
    <x v="0"/>
    <x v="4"/>
  </r>
  <r>
    <x v="1029"/>
    <x v="300"/>
    <x v="3"/>
    <x v="2"/>
    <x v="756"/>
    <x v="1"/>
    <x v="816"/>
    <x v="755"/>
    <x v="1"/>
    <x v="2"/>
  </r>
  <r>
    <x v="1030"/>
    <x v="301"/>
    <x v="0"/>
    <x v="0"/>
    <x v="765"/>
    <x v="2"/>
    <x v="1036"/>
    <x v="800"/>
    <x v="1"/>
    <x v="0"/>
  </r>
  <r>
    <x v="1031"/>
    <x v="302"/>
    <x v="4"/>
    <x v="1"/>
    <x v="774"/>
    <x v="0"/>
    <x v="459"/>
    <x v="737"/>
    <x v="1"/>
    <x v="3"/>
  </r>
  <r>
    <x v="1032"/>
    <x v="303"/>
    <x v="1"/>
    <x v="2"/>
    <x v="783"/>
    <x v="1"/>
    <x v="832"/>
    <x v="782"/>
    <x v="1"/>
    <x v="1"/>
  </r>
  <r>
    <x v="1033"/>
    <x v="304"/>
    <x v="2"/>
    <x v="0"/>
    <x v="792"/>
    <x v="2"/>
    <x v="1061"/>
    <x v="827"/>
    <x v="1"/>
    <x v="4"/>
  </r>
  <r>
    <x v="1034"/>
    <x v="305"/>
    <x v="3"/>
    <x v="1"/>
    <x v="801"/>
    <x v="0"/>
    <x v="477"/>
    <x v="763"/>
    <x v="1"/>
    <x v="2"/>
  </r>
  <r>
    <x v="1035"/>
    <x v="306"/>
    <x v="0"/>
    <x v="2"/>
    <x v="810"/>
    <x v="1"/>
    <x v="850"/>
    <x v="809"/>
    <x v="0"/>
    <x v="0"/>
  </r>
  <r>
    <x v="1036"/>
    <x v="307"/>
    <x v="4"/>
    <x v="0"/>
    <x v="819"/>
    <x v="2"/>
    <x v="1071"/>
    <x v="854"/>
    <x v="1"/>
    <x v="3"/>
  </r>
  <r>
    <x v="1037"/>
    <x v="308"/>
    <x v="1"/>
    <x v="1"/>
    <x v="828"/>
    <x v="0"/>
    <x v="494"/>
    <x v="789"/>
    <x v="1"/>
    <x v="1"/>
  </r>
  <r>
    <x v="1038"/>
    <x v="309"/>
    <x v="2"/>
    <x v="2"/>
    <x v="837"/>
    <x v="1"/>
    <x v="861"/>
    <x v="835"/>
    <x v="1"/>
    <x v="4"/>
  </r>
  <r>
    <x v="1039"/>
    <x v="310"/>
    <x v="3"/>
    <x v="0"/>
    <x v="846"/>
    <x v="2"/>
    <x v="1080"/>
    <x v="881"/>
    <x v="1"/>
    <x v="2"/>
  </r>
  <r>
    <x v="1040"/>
    <x v="311"/>
    <x v="0"/>
    <x v="1"/>
    <x v="855"/>
    <x v="0"/>
    <x v="513"/>
    <x v="815"/>
    <x v="1"/>
    <x v="0"/>
  </r>
  <r>
    <x v="1041"/>
    <x v="312"/>
    <x v="4"/>
    <x v="2"/>
    <x v="864"/>
    <x v="1"/>
    <x v="877"/>
    <x v="861"/>
    <x v="1"/>
    <x v="3"/>
  </r>
  <r>
    <x v="1042"/>
    <x v="313"/>
    <x v="1"/>
    <x v="0"/>
    <x v="873"/>
    <x v="2"/>
    <x v="1089"/>
    <x v="907"/>
    <x v="0"/>
    <x v="1"/>
  </r>
  <r>
    <x v="1043"/>
    <x v="314"/>
    <x v="2"/>
    <x v="1"/>
    <x v="882"/>
    <x v="0"/>
    <x v="522"/>
    <x v="841"/>
    <x v="1"/>
    <x v="4"/>
  </r>
  <r>
    <x v="1044"/>
    <x v="315"/>
    <x v="3"/>
    <x v="2"/>
    <x v="891"/>
    <x v="1"/>
    <x v="895"/>
    <x v="887"/>
    <x v="1"/>
    <x v="2"/>
  </r>
  <r>
    <x v="1045"/>
    <x v="316"/>
    <x v="0"/>
    <x v="0"/>
    <x v="900"/>
    <x v="2"/>
    <x v="1098"/>
    <x v="934"/>
    <x v="1"/>
    <x v="0"/>
  </r>
  <r>
    <x v="1046"/>
    <x v="317"/>
    <x v="4"/>
    <x v="1"/>
    <x v="909"/>
    <x v="0"/>
    <x v="548"/>
    <x v="867"/>
    <x v="1"/>
    <x v="3"/>
  </r>
  <r>
    <x v="1047"/>
    <x v="318"/>
    <x v="1"/>
    <x v="2"/>
    <x v="918"/>
    <x v="1"/>
    <x v="906"/>
    <x v="913"/>
    <x v="1"/>
    <x v="1"/>
  </r>
  <r>
    <x v="1048"/>
    <x v="319"/>
    <x v="2"/>
    <x v="0"/>
    <x v="927"/>
    <x v="2"/>
    <x v="1107"/>
    <x v="963"/>
    <x v="1"/>
    <x v="4"/>
  </r>
  <r>
    <x v="1049"/>
    <x v="320"/>
    <x v="3"/>
    <x v="1"/>
    <x v="936"/>
    <x v="0"/>
    <x v="558"/>
    <x v="891"/>
    <x v="0"/>
    <x v="2"/>
  </r>
  <r>
    <x v="1050"/>
    <x v="321"/>
    <x v="0"/>
    <x v="2"/>
    <x v="945"/>
    <x v="1"/>
    <x v="922"/>
    <x v="940"/>
    <x v="1"/>
    <x v="0"/>
  </r>
  <r>
    <x v="1051"/>
    <x v="322"/>
    <x v="4"/>
    <x v="0"/>
    <x v="954"/>
    <x v="2"/>
    <x v="1116"/>
    <x v="993"/>
    <x v="1"/>
    <x v="3"/>
  </r>
  <r>
    <x v="1052"/>
    <x v="323"/>
    <x v="1"/>
    <x v="1"/>
    <x v="963"/>
    <x v="0"/>
    <x v="576"/>
    <x v="914"/>
    <x v="1"/>
    <x v="1"/>
  </r>
  <r>
    <x v="1053"/>
    <x v="324"/>
    <x v="2"/>
    <x v="2"/>
    <x v="972"/>
    <x v="1"/>
    <x v="940"/>
    <x v="968"/>
    <x v="1"/>
    <x v="4"/>
  </r>
  <r>
    <x v="1054"/>
    <x v="325"/>
    <x v="3"/>
    <x v="0"/>
    <x v="981"/>
    <x v="2"/>
    <x v="1125"/>
    <x v="1023"/>
    <x v="1"/>
    <x v="2"/>
  </r>
  <r>
    <x v="1055"/>
    <x v="326"/>
    <x v="0"/>
    <x v="1"/>
    <x v="990"/>
    <x v="0"/>
    <x v="593"/>
    <x v="938"/>
    <x v="1"/>
    <x v="0"/>
  </r>
  <r>
    <x v="1056"/>
    <x v="327"/>
    <x v="4"/>
    <x v="2"/>
    <x v="999"/>
    <x v="1"/>
    <x v="951"/>
    <x v="995"/>
    <x v="0"/>
    <x v="3"/>
  </r>
  <r>
    <x v="1057"/>
    <x v="328"/>
    <x v="1"/>
    <x v="0"/>
    <x v="1008"/>
    <x v="2"/>
    <x v="1134"/>
    <x v="1052"/>
    <x v="1"/>
    <x v="1"/>
  </r>
  <r>
    <x v="1058"/>
    <x v="329"/>
    <x v="2"/>
    <x v="1"/>
    <x v="1017"/>
    <x v="0"/>
    <x v="612"/>
    <x v="962"/>
    <x v="1"/>
    <x v="4"/>
  </r>
  <r>
    <x v="1059"/>
    <x v="330"/>
    <x v="3"/>
    <x v="2"/>
    <x v="1026"/>
    <x v="1"/>
    <x v="967"/>
    <x v="1022"/>
    <x v="1"/>
    <x v="2"/>
  </r>
  <r>
    <x v="1060"/>
    <x v="331"/>
    <x v="0"/>
    <x v="0"/>
    <x v="1035"/>
    <x v="2"/>
    <x v="1143"/>
    <x v="1079"/>
    <x v="1"/>
    <x v="0"/>
  </r>
  <r>
    <x v="1061"/>
    <x v="332"/>
    <x v="4"/>
    <x v="1"/>
    <x v="1044"/>
    <x v="0"/>
    <x v="621"/>
    <x v="988"/>
    <x v="1"/>
    <x v="3"/>
  </r>
  <r>
    <x v="1062"/>
    <x v="333"/>
    <x v="1"/>
    <x v="2"/>
    <x v="1053"/>
    <x v="1"/>
    <x v="985"/>
    <x v="1048"/>
    <x v="1"/>
    <x v="1"/>
  </r>
  <r>
    <x v="1063"/>
    <x v="334"/>
    <x v="2"/>
    <x v="0"/>
    <x v="1062"/>
    <x v="2"/>
    <x v="1152"/>
    <x v="1105"/>
    <x v="0"/>
    <x v="4"/>
  </r>
  <r>
    <x v="1064"/>
    <x v="335"/>
    <x v="3"/>
    <x v="1"/>
    <x v="1071"/>
    <x v="0"/>
    <x v="647"/>
    <x v="1015"/>
    <x v="1"/>
    <x v="2"/>
  </r>
  <r>
    <x v="1065"/>
    <x v="336"/>
    <x v="0"/>
    <x v="2"/>
    <x v="1079"/>
    <x v="1"/>
    <x v="995"/>
    <x v="1074"/>
    <x v="1"/>
    <x v="0"/>
  </r>
  <r>
    <x v="1066"/>
    <x v="337"/>
    <x v="4"/>
    <x v="0"/>
    <x v="1087"/>
    <x v="2"/>
    <x v="1160"/>
    <x v="1130"/>
    <x v="1"/>
    <x v="3"/>
  </r>
  <r>
    <x v="1067"/>
    <x v="338"/>
    <x v="1"/>
    <x v="1"/>
    <x v="1095"/>
    <x v="0"/>
    <x v="656"/>
    <x v="1041"/>
    <x v="1"/>
    <x v="1"/>
  </r>
  <r>
    <x v="1068"/>
    <x v="339"/>
    <x v="2"/>
    <x v="2"/>
    <x v="1103"/>
    <x v="1"/>
    <x v="1010"/>
    <x v="1100"/>
    <x v="1"/>
    <x v="4"/>
  </r>
  <r>
    <x v="1069"/>
    <x v="340"/>
    <x v="3"/>
    <x v="0"/>
    <x v="1111"/>
    <x v="2"/>
    <x v="1168"/>
    <x v="1155"/>
    <x v="1"/>
    <x v="2"/>
  </r>
  <r>
    <x v="1070"/>
    <x v="341"/>
    <x v="0"/>
    <x v="1"/>
    <x v="1119"/>
    <x v="0"/>
    <x v="673"/>
    <x v="1067"/>
    <x v="0"/>
    <x v="0"/>
  </r>
  <r>
    <x v="1071"/>
    <x v="342"/>
    <x v="4"/>
    <x v="2"/>
    <x v="1127"/>
    <x v="1"/>
    <x v="1027"/>
    <x v="1125"/>
    <x v="1"/>
    <x v="3"/>
  </r>
  <r>
    <x v="1072"/>
    <x v="343"/>
    <x v="1"/>
    <x v="0"/>
    <x v="1135"/>
    <x v="2"/>
    <x v="1176"/>
    <x v="1172"/>
    <x v="1"/>
    <x v="1"/>
  </r>
  <r>
    <x v="1073"/>
    <x v="344"/>
    <x v="2"/>
    <x v="1"/>
    <x v="1143"/>
    <x v="0"/>
    <x v="689"/>
    <x v="1092"/>
    <x v="1"/>
    <x v="4"/>
  </r>
  <r>
    <x v="1074"/>
    <x v="345"/>
    <x v="3"/>
    <x v="2"/>
    <x v="1151"/>
    <x v="1"/>
    <x v="1037"/>
    <x v="1149"/>
    <x v="1"/>
    <x v="2"/>
  </r>
  <r>
    <x v="1075"/>
    <x v="346"/>
    <x v="0"/>
    <x v="0"/>
    <x v="1159"/>
    <x v="2"/>
    <x v="1184"/>
    <x v="1182"/>
    <x v="1"/>
    <x v="0"/>
  </r>
  <r>
    <x v="1076"/>
    <x v="347"/>
    <x v="4"/>
    <x v="1"/>
    <x v="1167"/>
    <x v="0"/>
    <x v="707"/>
    <x v="1117"/>
    <x v="1"/>
    <x v="3"/>
  </r>
  <r>
    <x v="1077"/>
    <x v="348"/>
    <x v="1"/>
    <x v="2"/>
    <x v="1175"/>
    <x v="1"/>
    <x v="1052"/>
    <x v="1165"/>
    <x v="0"/>
    <x v="1"/>
  </r>
  <r>
    <x v="1078"/>
    <x v="349"/>
    <x v="2"/>
    <x v="0"/>
    <x v="1183"/>
    <x v="2"/>
    <x v="1192"/>
    <x v="1190"/>
    <x v="1"/>
    <x v="4"/>
  </r>
  <r>
    <x v="1079"/>
    <x v="350"/>
    <x v="3"/>
    <x v="1"/>
    <x v="1191"/>
    <x v="0"/>
    <x v="715"/>
    <x v="1141"/>
    <x v="1"/>
    <x v="2"/>
  </r>
  <r>
    <x v="1080"/>
    <x v="351"/>
    <x v="0"/>
    <x v="2"/>
    <x v="1199"/>
    <x v="1"/>
    <x v="1069"/>
    <x v="1181"/>
    <x v="1"/>
    <x v="0"/>
  </r>
  <r>
    <x v="1081"/>
    <x v="352"/>
    <x v="4"/>
    <x v="0"/>
    <x v="7"/>
    <x v="2"/>
    <x v="28"/>
    <x v="8"/>
    <x v="1"/>
    <x v="3"/>
  </r>
  <r>
    <x v="1082"/>
    <x v="353"/>
    <x v="1"/>
    <x v="1"/>
    <x v="16"/>
    <x v="0"/>
    <x v="0"/>
    <x v="13"/>
    <x v="1"/>
    <x v="1"/>
  </r>
  <r>
    <x v="1083"/>
    <x v="354"/>
    <x v="2"/>
    <x v="2"/>
    <x v="25"/>
    <x v="1"/>
    <x v="32"/>
    <x v="26"/>
    <x v="1"/>
    <x v="4"/>
  </r>
  <r>
    <x v="1084"/>
    <x v="355"/>
    <x v="3"/>
    <x v="0"/>
    <x v="34"/>
    <x v="2"/>
    <x v="82"/>
    <x v="35"/>
    <x v="0"/>
    <x v="2"/>
  </r>
  <r>
    <x v="1085"/>
    <x v="356"/>
    <x v="0"/>
    <x v="1"/>
    <x v="43"/>
    <x v="0"/>
    <x v="17"/>
    <x v="38"/>
    <x v="1"/>
    <x v="0"/>
  </r>
  <r>
    <x v="1086"/>
    <x v="357"/>
    <x v="4"/>
    <x v="2"/>
    <x v="52"/>
    <x v="1"/>
    <x v="67"/>
    <x v="53"/>
    <x v="1"/>
    <x v="3"/>
  </r>
  <r>
    <x v="1087"/>
    <x v="358"/>
    <x v="1"/>
    <x v="0"/>
    <x v="61"/>
    <x v="2"/>
    <x v="127"/>
    <x v="62"/>
    <x v="1"/>
    <x v="1"/>
  </r>
  <r>
    <x v="1088"/>
    <x v="359"/>
    <x v="2"/>
    <x v="1"/>
    <x v="70"/>
    <x v="0"/>
    <x v="26"/>
    <x v="63"/>
    <x v="1"/>
    <x v="4"/>
  </r>
  <r>
    <x v="1089"/>
    <x v="360"/>
    <x v="3"/>
    <x v="2"/>
    <x v="79"/>
    <x v="1"/>
    <x v="103"/>
    <x v="80"/>
    <x v="1"/>
    <x v="2"/>
  </r>
  <r>
    <x v="1090"/>
    <x v="361"/>
    <x v="0"/>
    <x v="0"/>
    <x v="88"/>
    <x v="2"/>
    <x v="181"/>
    <x v="91"/>
    <x v="1"/>
    <x v="0"/>
  </r>
  <r>
    <x v="1091"/>
    <x v="362"/>
    <x v="4"/>
    <x v="1"/>
    <x v="97"/>
    <x v="0"/>
    <x v="51"/>
    <x v="89"/>
    <x v="0"/>
    <x v="3"/>
  </r>
  <r>
    <x v="1092"/>
    <x v="363"/>
    <x v="1"/>
    <x v="2"/>
    <x v="106"/>
    <x v="1"/>
    <x v="131"/>
    <x v="107"/>
    <x v="1"/>
    <x v="1"/>
  </r>
  <r>
    <x v="1093"/>
    <x v="364"/>
    <x v="2"/>
    <x v="0"/>
    <x v="115"/>
    <x v="2"/>
    <x v="226"/>
    <x v="120"/>
    <x v="1"/>
    <x v="4"/>
  </r>
  <r>
    <x v="1094"/>
    <x v="0"/>
    <x v="3"/>
    <x v="1"/>
    <x v="124"/>
    <x v="0"/>
    <x v="62"/>
    <x v="116"/>
    <x v="1"/>
    <x v="2"/>
  </r>
  <r>
    <x v="1095"/>
    <x v="1"/>
    <x v="0"/>
    <x v="2"/>
    <x v="133"/>
    <x v="1"/>
    <x v="166"/>
    <x v="134"/>
    <x v="1"/>
    <x v="0"/>
  </r>
  <r>
    <x v="1096"/>
    <x v="2"/>
    <x v="4"/>
    <x v="0"/>
    <x v="142"/>
    <x v="2"/>
    <x v="280"/>
    <x v="149"/>
    <x v="1"/>
    <x v="3"/>
  </r>
  <r>
    <x v="1097"/>
    <x v="3"/>
    <x v="1"/>
    <x v="1"/>
    <x v="151"/>
    <x v="0"/>
    <x v="80"/>
    <x v="143"/>
    <x v="1"/>
    <x v="1"/>
  </r>
  <r>
    <x v="1098"/>
    <x v="4"/>
    <x v="2"/>
    <x v="2"/>
    <x v="160"/>
    <x v="1"/>
    <x v="202"/>
    <x v="161"/>
    <x v="0"/>
    <x v="4"/>
  </r>
  <r>
    <x v="1099"/>
    <x v="5"/>
    <x v="3"/>
    <x v="0"/>
    <x v="169"/>
    <x v="2"/>
    <x v="325"/>
    <x v="178"/>
    <x v="1"/>
    <x v="2"/>
  </r>
  <r>
    <x v="1100"/>
    <x v="6"/>
    <x v="0"/>
    <x v="1"/>
    <x v="178"/>
    <x v="0"/>
    <x v="96"/>
    <x v="169"/>
    <x v="1"/>
    <x v="0"/>
  </r>
  <r>
    <x v="1101"/>
    <x v="7"/>
    <x v="4"/>
    <x v="2"/>
    <x v="187"/>
    <x v="1"/>
    <x v="230"/>
    <x v="187"/>
    <x v="1"/>
    <x v="3"/>
  </r>
  <r>
    <x v="1102"/>
    <x v="8"/>
    <x v="1"/>
    <x v="0"/>
    <x v="196"/>
    <x v="2"/>
    <x v="379"/>
    <x v="206"/>
    <x v="1"/>
    <x v="1"/>
  </r>
  <r>
    <x v="1103"/>
    <x v="9"/>
    <x v="2"/>
    <x v="1"/>
    <x v="205"/>
    <x v="0"/>
    <x v="116"/>
    <x v="195"/>
    <x v="1"/>
    <x v="4"/>
  </r>
  <r>
    <x v="1104"/>
    <x v="10"/>
    <x v="3"/>
    <x v="2"/>
    <x v="214"/>
    <x v="1"/>
    <x v="265"/>
    <x v="213"/>
    <x v="1"/>
    <x v="2"/>
  </r>
  <r>
    <x v="1105"/>
    <x v="11"/>
    <x v="0"/>
    <x v="0"/>
    <x v="223"/>
    <x v="2"/>
    <x v="424"/>
    <x v="233"/>
    <x v="0"/>
    <x v="0"/>
  </r>
  <r>
    <x v="1106"/>
    <x v="12"/>
    <x v="4"/>
    <x v="1"/>
    <x v="232"/>
    <x v="0"/>
    <x v="125"/>
    <x v="221"/>
    <x v="1"/>
    <x v="3"/>
  </r>
  <r>
    <x v="1107"/>
    <x v="13"/>
    <x v="1"/>
    <x v="2"/>
    <x v="241"/>
    <x v="1"/>
    <x v="301"/>
    <x v="239"/>
    <x v="1"/>
    <x v="1"/>
  </r>
  <r>
    <x v="1108"/>
    <x v="14"/>
    <x v="2"/>
    <x v="0"/>
    <x v="250"/>
    <x v="2"/>
    <x v="478"/>
    <x v="260"/>
    <x v="1"/>
    <x v="4"/>
  </r>
  <r>
    <x v="1109"/>
    <x v="15"/>
    <x v="3"/>
    <x v="1"/>
    <x v="259"/>
    <x v="0"/>
    <x v="150"/>
    <x v="247"/>
    <x v="1"/>
    <x v="2"/>
  </r>
  <r>
    <x v="1110"/>
    <x v="16"/>
    <x v="0"/>
    <x v="2"/>
    <x v="268"/>
    <x v="1"/>
    <x v="329"/>
    <x v="265"/>
    <x v="1"/>
    <x v="0"/>
  </r>
  <r>
    <x v="1111"/>
    <x v="17"/>
    <x v="4"/>
    <x v="0"/>
    <x v="277"/>
    <x v="2"/>
    <x v="523"/>
    <x v="287"/>
    <x v="1"/>
    <x v="3"/>
  </r>
  <r>
    <x v="1112"/>
    <x v="18"/>
    <x v="1"/>
    <x v="1"/>
    <x v="286"/>
    <x v="0"/>
    <x v="161"/>
    <x v="272"/>
    <x v="0"/>
    <x v="1"/>
  </r>
  <r>
    <x v="1113"/>
    <x v="19"/>
    <x v="2"/>
    <x v="2"/>
    <x v="295"/>
    <x v="1"/>
    <x v="364"/>
    <x v="291"/>
    <x v="1"/>
    <x v="4"/>
  </r>
  <r>
    <x v="1114"/>
    <x v="20"/>
    <x v="3"/>
    <x v="0"/>
    <x v="304"/>
    <x v="2"/>
    <x v="577"/>
    <x v="314"/>
    <x v="1"/>
    <x v="2"/>
  </r>
  <r>
    <x v="1115"/>
    <x v="21"/>
    <x v="0"/>
    <x v="1"/>
    <x v="313"/>
    <x v="0"/>
    <x v="179"/>
    <x v="296"/>
    <x v="1"/>
    <x v="0"/>
  </r>
  <r>
    <x v="1116"/>
    <x v="22"/>
    <x v="4"/>
    <x v="2"/>
    <x v="322"/>
    <x v="1"/>
    <x v="400"/>
    <x v="317"/>
    <x v="1"/>
    <x v="3"/>
  </r>
  <r>
    <x v="1117"/>
    <x v="23"/>
    <x v="1"/>
    <x v="0"/>
    <x v="331"/>
    <x v="2"/>
    <x v="622"/>
    <x v="340"/>
    <x v="1"/>
    <x v="1"/>
  </r>
  <r>
    <x v="1118"/>
    <x v="24"/>
    <x v="2"/>
    <x v="1"/>
    <x v="340"/>
    <x v="0"/>
    <x v="195"/>
    <x v="320"/>
    <x v="1"/>
    <x v="4"/>
  </r>
  <r>
    <x v="1119"/>
    <x v="25"/>
    <x v="3"/>
    <x v="2"/>
    <x v="349"/>
    <x v="1"/>
    <x v="428"/>
    <x v="342"/>
    <x v="0"/>
    <x v="2"/>
  </r>
  <r>
    <x v="1120"/>
    <x v="26"/>
    <x v="0"/>
    <x v="0"/>
    <x v="358"/>
    <x v="2"/>
    <x v="674"/>
    <x v="368"/>
    <x v="1"/>
    <x v="0"/>
  </r>
  <r>
    <x v="1121"/>
    <x v="27"/>
    <x v="4"/>
    <x v="1"/>
    <x v="367"/>
    <x v="0"/>
    <x v="215"/>
    <x v="343"/>
    <x v="1"/>
    <x v="3"/>
  </r>
  <r>
    <x v="1122"/>
    <x v="28"/>
    <x v="1"/>
    <x v="2"/>
    <x v="376"/>
    <x v="1"/>
    <x v="463"/>
    <x v="369"/>
    <x v="1"/>
    <x v="1"/>
  </r>
  <r>
    <x v="1123"/>
    <x v="29"/>
    <x v="2"/>
    <x v="0"/>
    <x v="385"/>
    <x v="2"/>
    <x v="716"/>
    <x v="398"/>
    <x v="1"/>
    <x v="4"/>
  </r>
  <r>
    <x v="1124"/>
    <x v="30"/>
    <x v="3"/>
    <x v="1"/>
    <x v="394"/>
    <x v="0"/>
    <x v="224"/>
    <x v="367"/>
    <x v="1"/>
    <x v="2"/>
  </r>
  <r>
    <x v="1125"/>
    <x v="31"/>
    <x v="0"/>
    <x v="2"/>
    <x v="403"/>
    <x v="1"/>
    <x v="499"/>
    <x v="396"/>
    <x v="1"/>
    <x v="0"/>
  </r>
  <r>
    <x v="1126"/>
    <x v="32"/>
    <x v="4"/>
    <x v="0"/>
    <x v="412"/>
    <x v="2"/>
    <x v="750"/>
    <x v="428"/>
    <x v="0"/>
    <x v="3"/>
  </r>
  <r>
    <x v="1127"/>
    <x v="33"/>
    <x v="1"/>
    <x v="1"/>
    <x v="421"/>
    <x v="0"/>
    <x v="249"/>
    <x v="394"/>
    <x v="1"/>
    <x v="1"/>
  </r>
  <r>
    <x v="1128"/>
    <x v="34"/>
    <x v="2"/>
    <x v="2"/>
    <x v="430"/>
    <x v="1"/>
    <x v="527"/>
    <x v="425"/>
    <x v="1"/>
    <x v="4"/>
  </r>
  <r>
    <x v="1129"/>
    <x v="35"/>
    <x v="3"/>
    <x v="0"/>
    <x v="439"/>
    <x v="2"/>
    <x v="768"/>
    <x v="458"/>
    <x v="1"/>
    <x v="2"/>
  </r>
  <r>
    <x v="1130"/>
    <x v="36"/>
    <x v="0"/>
    <x v="1"/>
    <x v="448"/>
    <x v="0"/>
    <x v="260"/>
    <x v="421"/>
    <x v="1"/>
    <x v="0"/>
  </r>
  <r>
    <x v="1131"/>
    <x v="37"/>
    <x v="4"/>
    <x v="2"/>
    <x v="457"/>
    <x v="1"/>
    <x v="562"/>
    <x v="453"/>
    <x v="1"/>
    <x v="3"/>
  </r>
  <r>
    <x v="1132"/>
    <x v="38"/>
    <x v="1"/>
    <x v="0"/>
    <x v="466"/>
    <x v="2"/>
    <x v="795"/>
    <x v="488"/>
    <x v="1"/>
    <x v="1"/>
  </r>
  <r>
    <x v="1133"/>
    <x v="39"/>
    <x v="2"/>
    <x v="1"/>
    <x v="475"/>
    <x v="0"/>
    <x v="278"/>
    <x v="448"/>
    <x v="0"/>
    <x v="4"/>
  </r>
  <r>
    <x v="1134"/>
    <x v="40"/>
    <x v="3"/>
    <x v="2"/>
    <x v="484"/>
    <x v="1"/>
    <x v="598"/>
    <x v="481"/>
    <x v="1"/>
    <x v="2"/>
  </r>
  <r>
    <x v="1135"/>
    <x v="41"/>
    <x v="0"/>
    <x v="0"/>
    <x v="493"/>
    <x v="2"/>
    <x v="813"/>
    <x v="516"/>
    <x v="1"/>
    <x v="0"/>
  </r>
  <r>
    <x v="1136"/>
    <x v="42"/>
    <x v="4"/>
    <x v="1"/>
    <x v="502"/>
    <x v="0"/>
    <x v="294"/>
    <x v="475"/>
    <x v="1"/>
    <x v="3"/>
  </r>
  <r>
    <x v="1137"/>
    <x v="43"/>
    <x v="1"/>
    <x v="2"/>
    <x v="511"/>
    <x v="1"/>
    <x v="626"/>
    <x v="509"/>
    <x v="1"/>
    <x v="1"/>
  </r>
  <r>
    <x v="1138"/>
    <x v="44"/>
    <x v="2"/>
    <x v="0"/>
    <x v="520"/>
    <x v="2"/>
    <x v="840"/>
    <x v="544"/>
    <x v="1"/>
    <x v="4"/>
  </r>
  <r>
    <x v="1139"/>
    <x v="45"/>
    <x v="3"/>
    <x v="1"/>
    <x v="529"/>
    <x v="0"/>
    <x v="314"/>
    <x v="502"/>
    <x v="1"/>
    <x v="2"/>
  </r>
  <r>
    <x v="1140"/>
    <x v="46"/>
    <x v="0"/>
    <x v="2"/>
    <x v="538"/>
    <x v="1"/>
    <x v="660"/>
    <x v="537"/>
    <x v="0"/>
    <x v="0"/>
  </r>
  <r>
    <x v="1141"/>
    <x v="47"/>
    <x v="4"/>
    <x v="0"/>
    <x v="547"/>
    <x v="2"/>
    <x v="858"/>
    <x v="572"/>
    <x v="1"/>
    <x v="3"/>
  </r>
  <r>
    <x v="1142"/>
    <x v="48"/>
    <x v="1"/>
    <x v="1"/>
    <x v="556"/>
    <x v="0"/>
    <x v="323"/>
    <x v="529"/>
    <x v="1"/>
    <x v="1"/>
  </r>
  <r>
    <x v="1143"/>
    <x v="49"/>
    <x v="2"/>
    <x v="2"/>
    <x v="565"/>
    <x v="1"/>
    <x v="694"/>
    <x v="565"/>
    <x v="1"/>
    <x v="4"/>
  </r>
  <r>
    <x v="1144"/>
    <x v="50"/>
    <x v="3"/>
    <x v="0"/>
    <x v="574"/>
    <x v="2"/>
    <x v="885"/>
    <x v="600"/>
    <x v="1"/>
    <x v="2"/>
  </r>
  <r>
    <x v="1145"/>
    <x v="51"/>
    <x v="0"/>
    <x v="1"/>
    <x v="583"/>
    <x v="0"/>
    <x v="348"/>
    <x v="556"/>
    <x v="1"/>
    <x v="0"/>
  </r>
  <r>
    <x v="1146"/>
    <x v="52"/>
    <x v="4"/>
    <x v="2"/>
    <x v="592"/>
    <x v="1"/>
    <x v="720"/>
    <x v="592"/>
    <x v="1"/>
    <x v="3"/>
  </r>
  <r>
    <x v="1147"/>
    <x v="53"/>
    <x v="1"/>
    <x v="0"/>
    <x v="601"/>
    <x v="2"/>
    <x v="903"/>
    <x v="628"/>
    <x v="0"/>
    <x v="1"/>
  </r>
  <r>
    <x v="1148"/>
    <x v="54"/>
    <x v="2"/>
    <x v="1"/>
    <x v="610"/>
    <x v="0"/>
    <x v="359"/>
    <x v="581"/>
    <x v="1"/>
    <x v="4"/>
  </r>
  <r>
    <x v="1149"/>
    <x v="55"/>
    <x v="3"/>
    <x v="2"/>
    <x v="619"/>
    <x v="1"/>
    <x v="741"/>
    <x v="619"/>
    <x v="1"/>
    <x v="2"/>
  </r>
  <r>
    <x v="1150"/>
    <x v="56"/>
    <x v="0"/>
    <x v="0"/>
    <x v="628"/>
    <x v="2"/>
    <x v="930"/>
    <x v="655"/>
    <x v="1"/>
    <x v="0"/>
  </r>
  <r>
    <x v="1151"/>
    <x v="57"/>
    <x v="4"/>
    <x v="1"/>
    <x v="637"/>
    <x v="0"/>
    <x v="377"/>
    <x v="606"/>
    <x v="1"/>
    <x v="3"/>
  </r>
  <r>
    <x v="1152"/>
    <x v="58"/>
    <x v="1"/>
    <x v="2"/>
    <x v="646"/>
    <x v="1"/>
    <x v="759"/>
    <x v="646"/>
    <x v="1"/>
    <x v="1"/>
  </r>
  <r>
    <x v="1153"/>
    <x v="59"/>
    <x v="2"/>
    <x v="0"/>
    <x v="655"/>
    <x v="2"/>
    <x v="948"/>
    <x v="684"/>
    <x v="1"/>
    <x v="4"/>
  </r>
  <r>
    <x v="1154"/>
    <x v="60"/>
    <x v="3"/>
    <x v="1"/>
    <x v="664"/>
    <x v="0"/>
    <x v="393"/>
    <x v="631"/>
    <x v="0"/>
    <x v="2"/>
  </r>
  <r>
    <x v="1155"/>
    <x v="61"/>
    <x v="0"/>
    <x v="2"/>
    <x v="673"/>
    <x v="1"/>
    <x v="769"/>
    <x v="673"/>
    <x v="1"/>
    <x v="0"/>
  </r>
  <r>
    <x v="1156"/>
    <x v="62"/>
    <x v="4"/>
    <x v="0"/>
    <x v="682"/>
    <x v="2"/>
    <x v="975"/>
    <x v="713"/>
    <x v="1"/>
    <x v="3"/>
  </r>
  <r>
    <x v="1157"/>
    <x v="63"/>
    <x v="1"/>
    <x v="1"/>
    <x v="691"/>
    <x v="0"/>
    <x v="413"/>
    <x v="656"/>
    <x v="1"/>
    <x v="1"/>
  </r>
  <r>
    <x v="1158"/>
    <x v="64"/>
    <x v="2"/>
    <x v="2"/>
    <x v="700"/>
    <x v="1"/>
    <x v="786"/>
    <x v="700"/>
    <x v="1"/>
    <x v="4"/>
  </r>
  <r>
    <x v="1159"/>
    <x v="65"/>
    <x v="3"/>
    <x v="0"/>
    <x v="709"/>
    <x v="2"/>
    <x v="993"/>
    <x v="742"/>
    <x v="1"/>
    <x v="2"/>
  </r>
  <r>
    <x v="1160"/>
    <x v="66"/>
    <x v="0"/>
    <x v="1"/>
    <x v="718"/>
    <x v="0"/>
    <x v="422"/>
    <x v="682"/>
    <x v="1"/>
    <x v="0"/>
  </r>
  <r>
    <x v="1161"/>
    <x v="67"/>
    <x v="4"/>
    <x v="2"/>
    <x v="727"/>
    <x v="1"/>
    <x v="804"/>
    <x v="727"/>
    <x v="0"/>
    <x v="3"/>
  </r>
  <r>
    <x v="1162"/>
    <x v="68"/>
    <x v="1"/>
    <x v="0"/>
    <x v="736"/>
    <x v="2"/>
    <x v="1018"/>
    <x v="771"/>
    <x v="1"/>
    <x v="1"/>
  </r>
  <r>
    <x v="1163"/>
    <x v="69"/>
    <x v="2"/>
    <x v="1"/>
    <x v="745"/>
    <x v="0"/>
    <x v="447"/>
    <x v="709"/>
    <x v="1"/>
    <x v="4"/>
  </r>
  <r>
    <x v="1164"/>
    <x v="70"/>
    <x v="3"/>
    <x v="2"/>
    <x v="754"/>
    <x v="1"/>
    <x v="814"/>
    <x v="754"/>
    <x v="1"/>
    <x v="2"/>
  </r>
  <r>
    <x v="1165"/>
    <x v="71"/>
    <x v="0"/>
    <x v="0"/>
    <x v="763"/>
    <x v="2"/>
    <x v="1035"/>
    <x v="799"/>
    <x v="1"/>
    <x v="0"/>
  </r>
  <r>
    <x v="1166"/>
    <x v="72"/>
    <x v="4"/>
    <x v="1"/>
    <x v="772"/>
    <x v="0"/>
    <x v="458"/>
    <x v="735"/>
    <x v="1"/>
    <x v="3"/>
  </r>
  <r>
    <x v="1167"/>
    <x v="73"/>
    <x v="1"/>
    <x v="2"/>
    <x v="781"/>
    <x v="1"/>
    <x v="831"/>
    <x v="781"/>
    <x v="1"/>
    <x v="1"/>
  </r>
  <r>
    <x v="1168"/>
    <x v="74"/>
    <x v="2"/>
    <x v="0"/>
    <x v="790"/>
    <x v="2"/>
    <x v="1060"/>
    <x v="826"/>
    <x v="0"/>
    <x v="4"/>
  </r>
  <r>
    <x v="1169"/>
    <x v="75"/>
    <x v="3"/>
    <x v="1"/>
    <x v="799"/>
    <x v="0"/>
    <x v="476"/>
    <x v="761"/>
    <x v="1"/>
    <x v="2"/>
  </r>
  <r>
    <x v="1170"/>
    <x v="76"/>
    <x v="0"/>
    <x v="2"/>
    <x v="808"/>
    <x v="1"/>
    <x v="849"/>
    <x v="807"/>
    <x v="1"/>
    <x v="0"/>
  </r>
  <r>
    <x v="1171"/>
    <x v="77"/>
    <x v="4"/>
    <x v="0"/>
    <x v="817"/>
    <x v="2"/>
    <x v="1070"/>
    <x v="853"/>
    <x v="1"/>
    <x v="3"/>
  </r>
  <r>
    <x v="1172"/>
    <x v="78"/>
    <x v="1"/>
    <x v="1"/>
    <x v="826"/>
    <x v="0"/>
    <x v="492"/>
    <x v="787"/>
    <x v="1"/>
    <x v="1"/>
  </r>
  <r>
    <x v="1173"/>
    <x v="79"/>
    <x v="2"/>
    <x v="2"/>
    <x v="835"/>
    <x v="1"/>
    <x v="859"/>
    <x v="833"/>
    <x v="1"/>
    <x v="4"/>
  </r>
  <r>
    <x v="1174"/>
    <x v="80"/>
    <x v="3"/>
    <x v="0"/>
    <x v="844"/>
    <x v="2"/>
    <x v="1079"/>
    <x v="880"/>
    <x v="1"/>
    <x v="2"/>
  </r>
  <r>
    <x v="1175"/>
    <x v="81"/>
    <x v="0"/>
    <x v="1"/>
    <x v="853"/>
    <x v="0"/>
    <x v="512"/>
    <x v="813"/>
    <x v="0"/>
    <x v="0"/>
  </r>
  <r>
    <x v="1176"/>
    <x v="82"/>
    <x v="4"/>
    <x v="2"/>
    <x v="862"/>
    <x v="1"/>
    <x v="876"/>
    <x v="859"/>
    <x v="1"/>
    <x v="3"/>
  </r>
  <r>
    <x v="1177"/>
    <x v="83"/>
    <x v="1"/>
    <x v="0"/>
    <x v="871"/>
    <x v="2"/>
    <x v="1088"/>
    <x v="906"/>
    <x v="1"/>
    <x v="1"/>
  </r>
  <r>
    <x v="1178"/>
    <x v="84"/>
    <x v="2"/>
    <x v="1"/>
    <x v="880"/>
    <x v="0"/>
    <x v="521"/>
    <x v="839"/>
    <x v="1"/>
    <x v="4"/>
  </r>
  <r>
    <x v="1179"/>
    <x v="85"/>
    <x v="3"/>
    <x v="2"/>
    <x v="889"/>
    <x v="1"/>
    <x v="894"/>
    <x v="885"/>
    <x v="1"/>
    <x v="2"/>
  </r>
  <r>
    <x v="1180"/>
    <x v="86"/>
    <x v="0"/>
    <x v="0"/>
    <x v="898"/>
    <x v="2"/>
    <x v="1097"/>
    <x v="933"/>
    <x v="1"/>
    <x v="0"/>
  </r>
  <r>
    <x v="1181"/>
    <x v="87"/>
    <x v="4"/>
    <x v="1"/>
    <x v="907"/>
    <x v="0"/>
    <x v="546"/>
    <x v="864"/>
    <x v="1"/>
    <x v="3"/>
  </r>
  <r>
    <x v="1182"/>
    <x v="88"/>
    <x v="1"/>
    <x v="2"/>
    <x v="916"/>
    <x v="1"/>
    <x v="904"/>
    <x v="910"/>
    <x v="0"/>
    <x v="1"/>
  </r>
  <r>
    <x v="1183"/>
    <x v="89"/>
    <x v="2"/>
    <x v="0"/>
    <x v="925"/>
    <x v="2"/>
    <x v="1106"/>
    <x v="961"/>
    <x v="1"/>
    <x v="4"/>
  </r>
  <r>
    <x v="1184"/>
    <x v="90"/>
    <x v="3"/>
    <x v="1"/>
    <x v="934"/>
    <x v="0"/>
    <x v="557"/>
    <x v="888"/>
    <x v="1"/>
    <x v="2"/>
  </r>
  <r>
    <x v="1185"/>
    <x v="91"/>
    <x v="0"/>
    <x v="2"/>
    <x v="943"/>
    <x v="1"/>
    <x v="921"/>
    <x v="937"/>
    <x v="1"/>
    <x v="0"/>
  </r>
  <r>
    <x v="1186"/>
    <x v="92"/>
    <x v="4"/>
    <x v="0"/>
    <x v="952"/>
    <x v="2"/>
    <x v="1115"/>
    <x v="990"/>
    <x v="1"/>
    <x v="3"/>
  </r>
  <r>
    <x v="1187"/>
    <x v="93"/>
    <x v="1"/>
    <x v="1"/>
    <x v="961"/>
    <x v="0"/>
    <x v="575"/>
    <x v="911"/>
    <x v="1"/>
    <x v="1"/>
  </r>
  <r>
    <x v="1188"/>
    <x v="94"/>
    <x v="2"/>
    <x v="2"/>
    <x v="970"/>
    <x v="1"/>
    <x v="939"/>
    <x v="964"/>
    <x v="1"/>
    <x v="4"/>
  </r>
  <r>
    <x v="1189"/>
    <x v="95"/>
    <x v="3"/>
    <x v="0"/>
    <x v="979"/>
    <x v="2"/>
    <x v="1124"/>
    <x v="1020"/>
    <x v="0"/>
    <x v="2"/>
  </r>
  <r>
    <x v="1190"/>
    <x v="96"/>
    <x v="0"/>
    <x v="1"/>
    <x v="988"/>
    <x v="0"/>
    <x v="591"/>
    <x v="935"/>
    <x v="1"/>
    <x v="0"/>
  </r>
  <r>
    <x v="1191"/>
    <x v="97"/>
    <x v="4"/>
    <x v="2"/>
    <x v="997"/>
    <x v="1"/>
    <x v="949"/>
    <x v="992"/>
    <x v="1"/>
    <x v="3"/>
  </r>
  <r>
    <x v="1192"/>
    <x v="98"/>
    <x v="1"/>
    <x v="0"/>
    <x v="1006"/>
    <x v="2"/>
    <x v="1133"/>
    <x v="1049"/>
    <x v="1"/>
    <x v="1"/>
  </r>
  <r>
    <x v="1193"/>
    <x v="99"/>
    <x v="2"/>
    <x v="1"/>
    <x v="1015"/>
    <x v="0"/>
    <x v="611"/>
    <x v="960"/>
    <x v="1"/>
    <x v="4"/>
  </r>
  <r>
    <x v="1194"/>
    <x v="100"/>
    <x v="3"/>
    <x v="2"/>
    <x v="1024"/>
    <x v="1"/>
    <x v="966"/>
    <x v="1019"/>
    <x v="1"/>
    <x v="2"/>
  </r>
  <r>
    <x v="1195"/>
    <x v="101"/>
    <x v="0"/>
    <x v="0"/>
    <x v="1033"/>
    <x v="2"/>
    <x v="1142"/>
    <x v="1077"/>
    <x v="1"/>
    <x v="0"/>
  </r>
  <r>
    <x v="1196"/>
    <x v="102"/>
    <x v="4"/>
    <x v="1"/>
    <x v="1042"/>
    <x v="0"/>
    <x v="620"/>
    <x v="987"/>
    <x v="0"/>
    <x v="3"/>
  </r>
  <r>
    <x v="1197"/>
    <x v="103"/>
    <x v="1"/>
    <x v="2"/>
    <x v="1051"/>
    <x v="1"/>
    <x v="984"/>
    <x v="1046"/>
    <x v="1"/>
    <x v="1"/>
  </r>
  <r>
    <x v="1198"/>
    <x v="104"/>
    <x v="2"/>
    <x v="0"/>
    <x v="1060"/>
    <x v="2"/>
    <x v="1151"/>
    <x v="1103"/>
    <x v="1"/>
    <x v="4"/>
  </r>
  <r>
    <x v="1199"/>
    <x v="105"/>
    <x v="3"/>
    <x v="1"/>
    <x v="1069"/>
    <x v="0"/>
    <x v="645"/>
    <x v="1014"/>
    <x v="1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InstitutionalPivot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G8" firstHeaderRow="1" firstDataRow="2" firstDataCol="1"/>
  <pivotFields count="10">
    <pivotField compact="0" showAll="0"/>
    <pivotField compact="0" showAll="0"/>
    <pivotField axis="axisCol" compact="0" showAll="0" defaultSubtotal="0">
      <items count="5">
        <item x="0"/>
        <item x="1"/>
        <item x="2"/>
        <item x="3"/>
        <item x="4"/>
      </items>
    </pivotField>
    <pivotField axis="axisRow" compact="0" showAll="0" defaultSubtotal="0">
      <items count="3">
        <item x="0"/>
        <item x="1"/>
        <item x="2"/>
      </items>
    </pivotField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4">
    <i>
      <x v="0"/>
    </i>
    <i>
      <x v="1"/>
    </i>
    <i>
      <x v="2"/>
    </i>
    <i t="grand">
      <x v="3"/>
    </i>
  </rowItems>
  <colFields count="1">
    <field x="2"/>
  </colFields>
  <colItems count="6">
    <i>
      <x v="0"/>
    </i>
    <i>
      <x v="1"/>
    </i>
    <i>
      <x v="2"/>
    </i>
    <i>
      <x v="3"/>
    </i>
    <i>
      <x v="4"/>
    </i>
    <i t="grand">
      <x v="5"/>
    </i>
  </colItems>
  <dataFields count="1">
    <dataField name="Sum - Amount" fld="4" subtotal="sum" numFmtId="165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ransactionsTable" displayName="TransactionsTable" ref="A1:J1201" headerRowCount="1" totalsRowCount="0" totalsRowShown="0">
  <autoFilter ref="A1:J1201"/>
  <tableColumns count="10">
    <tableColumn id="1" name="ID"/>
    <tableColumn id="2" name="Date"/>
    <tableColumn id="3" name="Department"/>
    <tableColumn id="4" name="Category"/>
    <tableColumn id="5" name="Amount"/>
    <tableColumn id="6" name="TaxRate"/>
    <tableColumn id="7" name="Tax"/>
    <tableColumn id="8" name="Total"/>
    <tableColumn id="9" name="Approved"/>
    <tableColumn id="10" name="DeptNam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f aca="false">SUMIFS(Transactions!$H$2:$H$1201,Transactions!$C$2:$C$1201,"OPS")</f>
        <v>696140</v>
      </c>
    </row>
    <row r="3" customFormat="false" ht="15" hidden="false" customHeight="false" outlineLevel="0" collapsed="false">
      <c r="A3" s="0" t="s">
        <v>3</v>
      </c>
      <c r="B3" s="0" t="n">
        <f aca="false">AVERAGEIFS(Transactions!$H$2:$H$1201,Transactions!$I$2:$I$1201,"Yes")</f>
        <v>2828.34669582119</v>
      </c>
    </row>
    <row r="4" customFormat="false" ht="15" hidden="false" customHeight="false" outlineLevel="0" collapsed="false">
      <c r="A4" s="0" t="s">
        <v>4</v>
      </c>
      <c r="B4" s="0" t="n">
        <f aca="false">COUNTIFS(Transactions!$I$2:$I$1201,"No")</f>
        <v>171</v>
      </c>
    </row>
    <row r="5" customFormat="false" ht="15" hidden="false" customHeight="false" outlineLevel="0" collapsed="false">
      <c r="A5" s="0" t="s">
        <v>5</v>
      </c>
      <c r="B5" s="2" t="n">
        <f aca="false">MAX(Transactions!$H$2:$H$1201)</f>
        <v>5816.7</v>
      </c>
    </row>
    <row r="6" customFormat="false" ht="15" hidden="false" customHeight="false" outlineLevel="0" collapsed="false">
      <c r="A6" s="0" t="s">
        <v>6</v>
      </c>
      <c r="B6" s="2" t="n">
        <f aca="false">MIN(Transactions!$H$2:$H$1201)</f>
        <v>112.2</v>
      </c>
    </row>
    <row r="7" customFormat="false" ht="15" hidden="false" customHeight="false" outlineLevel="0" collapsed="false">
      <c r="A7" s="0" t="s">
        <v>7</v>
      </c>
      <c r="B7" s="0" t="str">
        <f aca="false">_xlfn.XLOOKUP("OPS",Departments!$A$2:$A$6,Departments!$B$2:$B$6,"Unknown")</f>
        <v>Operations</v>
      </c>
    </row>
    <row r="8" customFormat="false" ht="15" hidden="false" customHeight="false" outlineLevel="0" collapsed="false">
      <c r="A8" s="0" t="s">
        <v>8</v>
      </c>
      <c r="B8" s="0" t="str">
        <f aca="false">_xlfn.UNIQUE(Transactions!$C$2:$C$1201)</f>
        <v>FIN</v>
      </c>
    </row>
  </sheetData>
  <sheetProtection sheet="true" password="ca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</row>
    <row r="2" customFormat="false" ht="15" hidden="false" customHeight="false" outlineLevel="0" collapsed="false">
      <c r="A2" s="0" t="s">
        <v>19</v>
      </c>
      <c r="B2" s="4" t="n">
        <v>45659</v>
      </c>
      <c r="C2" s="0" t="s">
        <v>20</v>
      </c>
      <c r="D2" s="3" t="s">
        <v>21</v>
      </c>
      <c r="E2" s="2" t="n">
        <v>137</v>
      </c>
      <c r="F2" s="5" t="n">
        <f aca="false">VLOOKUP(D2,Lookup!$A$2:$B$4,2,FALSE())</f>
        <v>0.1</v>
      </c>
      <c r="G2" s="2" t="n">
        <f aca="false">ROUND(E2*F2,2)</f>
        <v>13.7</v>
      </c>
      <c r="H2" s="2" t="n">
        <f aca="false">E2+G2</f>
        <v>150.7</v>
      </c>
      <c r="I2" s="3" t="s">
        <v>22</v>
      </c>
      <c r="J2" s="0" t="str">
        <f aca="false">_xlfn.XLOOKUP(C2,Departments!$A$2:$A$6,Departments!$B$2:$B$6,"Unknown")</f>
        <v>Finance</v>
      </c>
    </row>
    <row r="3" customFormat="false" ht="15" hidden="false" customHeight="false" outlineLevel="0" collapsed="false">
      <c r="A3" s="0" t="s">
        <v>23</v>
      </c>
      <c r="B3" s="4" t="n">
        <v>45660</v>
      </c>
      <c r="C3" s="0" t="s">
        <v>24</v>
      </c>
      <c r="D3" s="3" t="s">
        <v>25</v>
      </c>
      <c r="E3" s="2" t="n">
        <v>174</v>
      </c>
      <c r="F3" s="5" t="n">
        <f aca="false">VLOOKUP(D3,Lookup!$A$2:$B$4,2,FALSE())</f>
        <v>0.15</v>
      </c>
      <c r="G3" s="2" t="n">
        <f aca="false">ROUND(E3*F3,2)</f>
        <v>26.1</v>
      </c>
      <c r="H3" s="2" t="n">
        <f aca="false">E3+G3</f>
        <v>200.1</v>
      </c>
      <c r="I3" s="3" t="s">
        <v>22</v>
      </c>
      <c r="J3" s="0" t="str">
        <f aca="false">_xlfn.XLOOKUP(C3,Departments!$A$2:$A$6,Departments!$B$2:$B$6,"Unknown")</f>
        <v>Quality</v>
      </c>
    </row>
    <row r="4" customFormat="false" ht="15" hidden="false" customHeight="false" outlineLevel="0" collapsed="false">
      <c r="A4" s="0" t="s">
        <v>26</v>
      </c>
      <c r="B4" s="4" t="n">
        <v>45661</v>
      </c>
      <c r="C4" s="0" t="s">
        <v>27</v>
      </c>
      <c r="D4" s="3" t="s">
        <v>28</v>
      </c>
      <c r="E4" s="2" t="n">
        <v>211</v>
      </c>
      <c r="F4" s="5" t="n">
        <f aca="false">VLOOKUP(D4,Lookup!$A$2:$B$4,2,FALSE())</f>
        <v>0.05</v>
      </c>
      <c r="G4" s="2" t="n">
        <f aca="false">ROUND(E4*F4,2)</f>
        <v>10.55</v>
      </c>
      <c r="H4" s="2" t="n">
        <f aca="false">E4+G4</f>
        <v>221.55</v>
      </c>
      <c r="I4" s="3" t="s">
        <v>22</v>
      </c>
      <c r="J4" s="0" t="str">
        <f aca="false">_xlfn.XLOOKUP(C4,Departments!$A$2:$A$6,Departments!$B$2:$B$6,"Unknown")</f>
        <v>Human Resources</v>
      </c>
    </row>
    <row r="5" customFormat="false" ht="15" hidden="false" customHeight="false" outlineLevel="0" collapsed="false">
      <c r="A5" s="0" t="s">
        <v>29</v>
      </c>
      <c r="B5" s="4" t="n">
        <v>45662</v>
      </c>
      <c r="C5" s="0" t="s">
        <v>30</v>
      </c>
      <c r="D5" s="3" t="s">
        <v>21</v>
      </c>
      <c r="E5" s="2" t="n">
        <v>248</v>
      </c>
      <c r="F5" s="5" t="n">
        <f aca="false">VLOOKUP(D5,Lookup!$A$2:$B$4,2,FALSE())</f>
        <v>0.1</v>
      </c>
      <c r="G5" s="2" t="n">
        <f aca="false">ROUND(E5*F5,2)</f>
        <v>24.8</v>
      </c>
      <c r="H5" s="2" t="n">
        <f aca="false">E5+G5</f>
        <v>272.8</v>
      </c>
      <c r="I5" s="3" t="s">
        <v>22</v>
      </c>
      <c r="J5" s="0" t="str">
        <f aca="false">_xlfn.XLOOKUP(C5,Departments!$A$2:$A$6,Departments!$B$2:$B$6,"Unknown")</f>
        <v>Technology</v>
      </c>
    </row>
    <row r="6" customFormat="false" ht="15" hidden="false" customHeight="false" outlineLevel="0" collapsed="false">
      <c r="A6" s="0" t="s">
        <v>31</v>
      </c>
      <c r="B6" s="4" t="n">
        <v>45663</v>
      </c>
      <c r="C6" s="0" t="s">
        <v>32</v>
      </c>
      <c r="D6" s="3" t="s">
        <v>25</v>
      </c>
      <c r="E6" s="2" t="n">
        <v>285</v>
      </c>
      <c r="F6" s="5" t="n">
        <f aca="false">VLOOKUP(D6,Lookup!$A$2:$B$4,2,FALSE())</f>
        <v>0.15</v>
      </c>
      <c r="G6" s="2" t="n">
        <f aca="false">ROUND(E6*F6,2)</f>
        <v>42.75</v>
      </c>
      <c r="H6" s="2" t="n">
        <f aca="false">E6+G6</f>
        <v>327.75</v>
      </c>
      <c r="I6" s="3" t="s">
        <v>22</v>
      </c>
      <c r="J6" s="0" t="str">
        <f aca="false">_xlfn.XLOOKUP(C6,Departments!$A$2:$A$6,Departments!$B$2:$B$6,"Unknown")</f>
        <v>Operations</v>
      </c>
    </row>
    <row r="7" customFormat="false" ht="15" hidden="false" customHeight="false" outlineLevel="0" collapsed="false">
      <c r="A7" s="0" t="s">
        <v>33</v>
      </c>
      <c r="B7" s="4" t="n">
        <v>45664</v>
      </c>
      <c r="C7" s="0" t="s">
        <v>20</v>
      </c>
      <c r="D7" s="3" t="s">
        <v>28</v>
      </c>
      <c r="E7" s="2" t="n">
        <v>322</v>
      </c>
      <c r="F7" s="5" t="n">
        <f aca="false">VLOOKUP(D7,Lookup!$A$2:$B$4,2,FALSE())</f>
        <v>0.05</v>
      </c>
      <c r="G7" s="2" t="n">
        <f aca="false">ROUND(E7*F7,2)</f>
        <v>16.1</v>
      </c>
      <c r="H7" s="2" t="n">
        <f aca="false">E7+G7</f>
        <v>338.1</v>
      </c>
      <c r="I7" s="3" t="s">
        <v>22</v>
      </c>
      <c r="J7" s="0" t="str">
        <f aca="false">_xlfn.XLOOKUP(C7,Departments!$A$2:$A$6,Departments!$B$2:$B$6,"Unknown")</f>
        <v>Finance</v>
      </c>
    </row>
    <row r="8" customFormat="false" ht="15" hidden="false" customHeight="false" outlineLevel="0" collapsed="false">
      <c r="A8" s="0" t="s">
        <v>34</v>
      </c>
      <c r="B8" s="4" t="n">
        <v>45665</v>
      </c>
      <c r="C8" s="0" t="s">
        <v>24</v>
      </c>
      <c r="D8" s="3" t="s">
        <v>21</v>
      </c>
      <c r="E8" s="2" t="n">
        <v>359</v>
      </c>
      <c r="F8" s="5" t="n">
        <f aca="false">VLOOKUP(D8,Lookup!$A$2:$B$4,2,FALSE())</f>
        <v>0.1</v>
      </c>
      <c r="G8" s="2" t="n">
        <f aca="false">ROUND(E8*F8,2)</f>
        <v>35.9</v>
      </c>
      <c r="H8" s="2" t="n">
        <f aca="false">E8+G8</f>
        <v>394.9</v>
      </c>
      <c r="I8" s="3" t="s">
        <v>35</v>
      </c>
      <c r="J8" s="0" t="str">
        <f aca="false">_xlfn.XLOOKUP(C8,Departments!$A$2:$A$6,Departments!$B$2:$B$6,"Unknown")</f>
        <v>Quality</v>
      </c>
    </row>
    <row r="9" customFormat="false" ht="15" hidden="false" customHeight="false" outlineLevel="0" collapsed="false">
      <c r="A9" s="0" t="s">
        <v>36</v>
      </c>
      <c r="B9" s="4" t="n">
        <v>45666</v>
      </c>
      <c r="C9" s="0" t="s">
        <v>27</v>
      </c>
      <c r="D9" s="3" t="s">
        <v>25</v>
      </c>
      <c r="E9" s="2" t="n">
        <v>396</v>
      </c>
      <c r="F9" s="5" t="n">
        <f aca="false">VLOOKUP(D9,Lookup!$A$2:$B$4,2,FALSE())</f>
        <v>0.15</v>
      </c>
      <c r="G9" s="2" t="n">
        <f aca="false">ROUND(E9*F9,2)</f>
        <v>59.4</v>
      </c>
      <c r="H9" s="2" t="n">
        <f aca="false">E9+G9</f>
        <v>455.4</v>
      </c>
      <c r="I9" s="3" t="s">
        <v>22</v>
      </c>
      <c r="J9" s="0" t="str">
        <f aca="false">_xlfn.XLOOKUP(C9,Departments!$A$2:$A$6,Departments!$B$2:$B$6,"Unknown")</f>
        <v>Human Resources</v>
      </c>
    </row>
    <row r="10" customFormat="false" ht="15" hidden="false" customHeight="false" outlineLevel="0" collapsed="false">
      <c r="A10" s="0" t="s">
        <v>37</v>
      </c>
      <c r="B10" s="4" t="n">
        <v>45667</v>
      </c>
      <c r="C10" s="0" t="s">
        <v>30</v>
      </c>
      <c r="D10" s="3" t="s">
        <v>28</v>
      </c>
      <c r="E10" s="2" t="n">
        <v>433</v>
      </c>
      <c r="F10" s="5" t="n">
        <f aca="false">VLOOKUP(D10,Lookup!$A$2:$B$4,2,FALSE())</f>
        <v>0.05</v>
      </c>
      <c r="G10" s="2" t="n">
        <f aca="false">ROUND(E10*F10,2)</f>
        <v>21.65</v>
      </c>
      <c r="H10" s="2" t="n">
        <f aca="false">E10+G10</f>
        <v>454.65</v>
      </c>
      <c r="I10" s="3" t="s">
        <v>22</v>
      </c>
      <c r="J10" s="0" t="str">
        <f aca="false">_xlfn.XLOOKUP(C10,Departments!$A$2:$A$6,Departments!$B$2:$B$6,"Unknown")</f>
        <v>Technology</v>
      </c>
    </row>
    <row r="11" customFormat="false" ht="15" hidden="false" customHeight="false" outlineLevel="0" collapsed="false">
      <c r="A11" s="0" t="s">
        <v>38</v>
      </c>
      <c r="B11" s="4" t="n">
        <v>45668</v>
      </c>
      <c r="C11" s="0" t="s">
        <v>32</v>
      </c>
      <c r="D11" s="3" t="s">
        <v>21</v>
      </c>
      <c r="E11" s="2" t="n">
        <v>470</v>
      </c>
      <c r="F11" s="5" t="n">
        <f aca="false">VLOOKUP(D11,Lookup!$A$2:$B$4,2,FALSE())</f>
        <v>0.1</v>
      </c>
      <c r="G11" s="2" t="n">
        <f aca="false">ROUND(E11*F11,2)</f>
        <v>47</v>
      </c>
      <c r="H11" s="2" t="n">
        <f aca="false">E11+G11</f>
        <v>517</v>
      </c>
      <c r="I11" s="3" t="s">
        <v>22</v>
      </c>
      <c r="J11" s="0" t="str">
        <f aca="false">_xlfn.XLOOKUP(C11,Departments!$A$2:$A$6,Departments!$B$2:$B$6,"Unknown")</f>
        <v>Operations</v>
      </c>
    </row>
    <row r="12" customFormat="false" ht="15" hidden="false" customHeight="false" outlineLevel="0" collapsed="false">
      <c r="A12" s="0" t="s">
        <v>39</v>
      </c>
      <c r="B12" s="4" t="n">
        <v>45669</v>
      </c>
      <c r="C12" s="0" t="s">
        <v>20</v>
      </c>
      <c r="D12" s="3" t="s">
        <v>25</v>
      </c>
      <c r="E12" s="2" t="n">
        <v>507</v>
      </c>
      <c r="F12" s="5" t="n">
        <f aca="false">VLOOKUP(D12,Lookup!$A$2:$B$4,2,FALSE())</f>
        <v>0.15</v>
      </c>
      <c r="G12" s="2" t="n">
        <f aca="false">ROUND(E12*F12,2)</f>
        <v>76.05</v>
      </c>
      <c r="H12" s="2" t="n">
        <f aca="false">E12+G12</f>
        <v>583.05</v>
      </c>
      <c r="I12" s="3" t="s">
        <v>22</v>
      </c>
      <c r="J12" s="0" t="str">
        <f aca="false">_xlfn.XLOOKUP(C12,Departments!$A$2:$A$6,Departments!$B$2:$B$6,"Unknown")</f>
        <v>Finance</v>
      </c>
    </row>
    <row r="13" customFormat="false" ht="15" hidden="false" customHeight="false" outlineLevel="0" collapsed="false">
      <c r="A13" s="0" t="s">
        <v>40</v>
      </c>
      <c r="B13" s="4" t="n">
        <v>45670</v>
      </c>
      <c r="C13" s="0" t="s">
        <v>24</v>
      </c>
      <c r="D13" s="3" t="s">
        <v>28</v>
      </c>
      <c r="E13" s="2" t="n">
        <v>544</v>
      </c>
      <c r="F13" s="5" t="n">
        <f aca="false">VLOOKUP(D13,Lookup!$A$2:$B$4,2,FALSE())</f>
        <v>0.05</v>
      </c>
      <c r="G13" s="2" t="n">
        <f aca="false">ROUND(E13*F13,2)</f>
        <v>27.2</v>
      </c>
      <c r="H13" s="2" t="n">
        <f aca="false">E13+G13</f>
        <v>571.2</v>
      </c>
      <c r="I13" s="3" t="s">
        <v>22</v>
      </c>
      <c r="J13" s="0" t="str">
        <f aca="false">_xlfn.XLOOKUP(C13,Departments!$A$2:$A$6,Departments!$B$2:$B$6,"Unknown")</f>
        <v>Quality</v>
      </c>
    </row>
    <row r="14" customFormat="false" ht="15" hidden="false" customHeight="false" outlineLevel="0" collapsed="false">
      <c r="A14" s="0" t="s">
        <v>41</v>
      </c>
      <c r="B14" s="4" t="n">
        <v>45671</v>
      </c>
      <c r="C14" s="0" t="s">
        <v>27</v>
      </c>
      <c r="D14" s="3" t="s">
        <v>21</v>
      </c>
      <c r="E14" s="2" t="n">
        <v>581</v>
      </c>
      <c r="F14" s="5" t="n">
        <f aca="false">VLOOKUP(D14,Lookup!$A$2:$B$4,2,FALSE())</f>
        <v>0.1</v>
      </c>
      <c r="G14" s="2" t="n">
        <f aca="false">ROUND(E14*F14,2)</f>
        <v>58.1</v>
      </c>
      <c r="H14" s="2" t="n">
        <f aca="false">E14+G14</f>
        <v>639.1</v>
      </c>
      <c r="I14" s="3" t="s">
        <v>22</v>
      </c>
      <c r="J14" s="0" t="str">
        <f aca="false">_xlfn.XLOOKUP(C14,Departments!$A$2:$A$6,Departments!$B$2:$B$6,"Unknown")</f>
        <v>Human Resources</v>
      </c>
    </row>
    <row r="15" customFormat="false" ht="15" hidden="false" customHeight="false" outlineLevel="0" collapsed="false">
      <c r="A15" s="0" t="s">
        <v>42</v>
      </c>
      <c r="B15" s="4" t="n">
        <v>45672</v>
      </c>
      <c r="C15" s="0" t="s">
        <v>30</v>
      </c>
      <c r="D15" s="3" t="s">
        <v>25</v>
      </c>
      <c r="E15" s="2" t="n">
        <v>618</v>
      </c>
      <c r="F15" s="5" t="n">
        <f aca="false">VLOOKUP(D15,Lookup!$A$2:$B$4,2,FALSE())</f>
        <v>0.15</v>
      </c>
      <c r="G15" s="2" t="n">
        <f aca="false">ROUND(E15*F15,2)</f>
        <v>92.7</v>
      </c>
      <c r="H15" s="2" t="n">
        <f aca="false">E15+G15</f>
        <v>710.7</v>
      </c>
      <c r="I15" s="3" t="s">
        <v>35</v>
      </c>
      <c r="J15" s="0" t="str">
        <f aca="false">_xlfn.XLOOKUP(C15,Departments!$A$2:$A$6,Departments!$B$2:$B$6,"Unknown")</f>
        <v>Technology</v>
      </c>
    </row>
    <row r="16" customFormat="false" ht="15" hidden="false" customHeight="false" outlineLevel="0" collapsed="false">
      <c r="A16" s="0" t="s">
        <v>43</v>
      </c>
      <c r="B16" s="4" t="n">
        <v>45673</v>
      </c>
      <c r="C16" s="0" t="s">
        <v>32</v>
      </c>
      <c r="D16" s="3" t="s">
        <v>28</v>
      </c>
      <c r="E16" s="2" t="n">
        <v>655</v>
      </c>
      <c r="F16" s="5" t="n">
        <f aca="false">VLOOKUP(D16,Lookup!$A$2:$B$4,2,FALSE())</f>
        <v>0.05</v>
      </c>
      <c r="G16" s="2" t="n">
        <f aca="false">ROUND(E16*F16,2)</f>
        <v>32.75</v>
      </c>
      <c r="H16" s="2" t="n">
        <f aca="false">E16+G16</f>
        <v>687.75</v>
      </c>
      <c r="I16" s="3" t="s">
        <v>22</v>
      </c>
      <c r="J16" s="0" t="str">
        <f aca="false">_xlfn.XLOOKUP(C16,Departments!$A$2:$A$6,Departments!$B$2:$B$6,"Unknown")</f>
        <v>Operations</v>
      </c>
    </row>
    <row r="17" customFormat="false" ht="15" hidden="false" customHeight="false" outlineLevel="0" collapsed="false">
      <c r="A17" s="0" t="s">
        <v>44</v>
      </c>
      <c r="B17" s="4" t="n">
        <v>45674</v>
      </c>
      <c r="C17" s="0" t="s">
        <v>20</v>
      </c>
      <c r="D17" s="3" t="s">
        <v>21</v>
      </c>
      <c r="E17" s="2" t="n">
        <v>692</v>
      </c>
      <c r="F17" s="5" t="n">
        <f aca="false">VLOOKUP(D17,Lookup!$A$2:$B$4,2,FALSE())</f>
        <v>0.1</v>
      </c>
      <c r="G17" s="2" t="n">
        <f aca="false">ROUND(E17*F17,2)</f>
        <v>69.2</v>
      </c>
      <c r="H17" s="2" t="n">
        <f aca="false">E17+G17</f>
        <v>761.2</v>
      </c>
      <c r="I17" s="3" t="s">
        <v>22</v>
      </c>
      <c r="J17" s="0" t="str">
        <f aca="false">_xlfn.XLOOKUP(C17,Departments!$A$2:$A$6,Departments!$B$2:$B$6,"Unknown")</f>
        <v>Finance</v>
      </c>
    </row>
    <row r="18" customFormat="false" ht="15" hidden="false" customHeight="false" outlineLevel="0" collapsed="false">
      <c r="A18" s="0" t="s">
        <v>45</v>
      </c>
      <c r="B18" s="4" t="n">
        <v>45675</v>
      </c>
      <c r="C18" s="0" t="s">
        <v>24</v>
      </c>
      <c r="D18" s="3" t="s">
        <v>25</v>
      </c>
      <c r="E18" s="2" t="n">
        <v>729</v>
      </c>
      <c r="F18" s="5" t="n">
        <f aca="false">VLOOKUP(D18,Lookup!$A$2:$B$4,2,FALSE())</f>
        <v>0.15</v>
      </c>
      <c r="G18" s="2" t="n">
        <f aca="false">ROUND(E18*F18,2)</f>
        <v>109.35</v>
      </c>
      <c r="H18" s="2" t="n">
        <f aca="false">E18+G18</f>
        <v>838.35</v>
      </c>
      <c r="I18" s="3" t="s">
        <v>22</v>
      </c>
      <c r="J18" s="0" t="str">
        <f aca="false">_xlfn.XLOOKUP(C18,Departments!$A$2:$A$6,Departments!$B$2:$B$6,"Unknown")</f>
        <v>Quality</v>
      </c>
    </row>
    <row r="19" customFormat="false" ht="15" hidden="false" customHeight="false" outlineLevel="0" collapsed="false">
      <c r="A19" s="0" t="s">
        <v>46</v>
      </c>
      <c r="B19" s="4" t="n">
        <v>45676</v>
      </c>
      <c r="C19" s="0" t="s">
        <v>27</v>
      </c>
      <c r="D19" s="3" t="s">
        <v>28</v>
      </c>
      <c r="E19" s="2" t="n">
        <v>766</v>
      </c>
      <c r="F19" s="5" t="n">
        <f aca="false">VLOOKUP(D19,Lookup!$A$2:$B$4,2,FALSE())</f>
        <v>0.05</v>
      </c>
      <c r="G19" s="2" t="n">
        <f aca="false">ROUND(E19*F19,2)</f>
        <v>38.3</v>
      </c>
      <c r="H19" s="2" t="n">
        <f aca="false">E19+G19</f>
        <v>804.3</v>
      </c>
      <c r="I19" s="3" t="s">
        <v>22</v>
      </c>
      <c r="J19" s="0" t="str">
        <f aca="false">_xlfn.XLOOKUP(C19,Departments!$A$2:$A$6,Departments!$B$2:$B$6,"Unknown")</f>
        <v>Human Resources</v>
      </c>
    </row>
    <row r="20" customFormat="false" ht="15" hidden="false" customHeight="false" outlineLevel="0" collapsed="false">
      <c r="A20" s="0" t="s">
        <v>47</v>
      </c>
      <c r="B20" s="4" t="n">
        <v>45677</v>
      </c>
      <c r="C20" s="0" t="s">
        <v>30</v>
      </c>
      <c r="D20" s="3" t="s">
        <v>21</v>
      </c>
      <c r="E20" s="2" t="n">
        <v>803</v>
      </c>
      <c r="F20" s="5" t="n">
        <f aca="false">VLOOKUP(D20,Lookup!$A$2:$B$4,2,FALSE())</f>
        <v>0.1</v>
      </c>
      <c r="G20" s="2" t="n">
        <f aca="false">ROUND(E20*F20,2)</f>
        <v>80.3</v>
      </c>
      <c r="H20" s="2" t="n">
        <f aca="false">E20+G20</f>
        <v>883.3</v>
      </c>
      <c r="I20" s="3" t="s">
        <v>22</v>
      </c>
      <c r="J20" s="0" t="str">
        <f aca="false">_xlfn.XLOOKUP(C20,Departments!$A$2:$A$6,Departments!$B$2:$B$6,"Unknown")</f>
        <v>Technology</v>
      </c>
    </row>
    <row r="21" customFormat="false" ht="15" hidden="false" customHeight="false" outlineLevel="0" collapsed="false">
      <c r="A21" s="0" t="s">
        <v>48</v>
      </c>
      <c r="B21" s="4" t="n">
        <v>45678</v>
      </c>
      <c r="C21" s="0" t="s">
        <v>32</v>
      </c>
      <c r="D21" s="3" t="s">
        <v>25</v>
      </c>
      <c r="E21" s="2" t="n">
        <v>840</v>
      </c>
      <c r="F21" s="5" t="n">
        <f aca="false">VLOOKUP(D21,Lookup!$A$2:$B$4,2,FALSE())</f>
        <v>0.15</v>
      </c>
      <c r="G21" s="2" t="n">
        <f aca="false">ROUND(E21*F21,2)</f>
        <v>126</v>
      </c>
      <c r="H21" s="2" t="n">
        <f aca="false">E21+G21</f>
        <v>966</v>
      </c>
      <c r="I21" s="3" t="s">
        <v>22</v>
      </c>
      <c r="J21" s="0" t="str">
        <f aca="false">_xlfn.XLOOKUP(C21,Departments!$A$2:$A$6,Departments!$B$2:$B$6,"Unknown")</f>
        <v>Operations</v>
      </c>
    </row>
    <row r="22" customFormat="false" ht="15" hidden="false" customHeight="false" outlineLevel="0" collapsed="false">
      <c r="A22" s="0" t="s">
        <v>49</v>
      </c>
      <c r="B22" s="4" t="n">
        <v>45679</v>
      </c>
      <c r="C22" s="0" t="s">
        <v>20</v>
      </c>
      <c r="D22" s="3" t="s">
        <v>28</v>
      </c>
      <c r="E22" s="2" t="n">
        <v>877</v>
      </c>
      <c r="F22" s="5" t="n">
        <f aca="false">VLOOKUP(D22,Lookup!$A$2:$B$4,2,FALSE())</f>
        <v>0.05</v>
      </c>
      <c r="G22" s="2" t="n">
        <f aca="false">ROUND(E22*F22,2)</f>
        <v>43.85</v>
      </c>
      <c r="H22" s="2" t="n">
        <f aca="false">E22+G22</f>
        <v>920.85</v>
      </c>
      <c r="I22" s="3" t="s">
        <v>35</v>
      </c>
      <c r="J22" s="0" t="str">
        <f aca="false">_xlfn.XLOOKUP(C22,Departments!$A$2:$A$6,Departments!$B$2:$B$6,"Unknown")</f>
        <v>Finance</v>
      </c>
    </row>
    <row r="23" customFormat="false" ht="15" hidden="false" customHeight="false" outlineLevel="0" collapsed="false">
      <c r="A23" s="0" t="s">
        <v>50</v>
      </c>
      <c r="B23" s="4" t="n">
        <v>45680</v>
      </c>
      <c r="C23" s="0" t="s">
        <v>24</v>
      </c>
      <c r="D23" s="3" t="s">
        <v>21</v>
      </c>
      <c r="E23" s="2" t="n">
        <v>914</v>
      </c>
      <c r="F23" s="5" t="n">
        <f aca="false">VLOOKUP(D23,Lookup!$A$2:$B$4,2,FALSE())</f>
        <v>0.1</v>
      </c>
      <c r="G23" s="2" t="n">
        <f aca="false">ROUND(E23*F23,2)</f>
        <v>91.4</v>
      </c>
      <c r="H23" s="2" t="n">
        <f aca="false">E23+G23</f>
        <v>1005.4</v>
      </c>
      <c r="I23" s="3" t="s">
        <v>22</v>
      </c>
      <c r="J23" s="0" t="str">
        <f aca="false">_xlfn.XLOOKUP(C23,Departments!$A$2:$A$6,Departments!$B$2:$B$6,"Unknown")</f>
        <v>Quality</v>
      </c>
    </row>
    <row r="24" customFormat="false" ht="15" hidden="false" customHeight="false" outlineLevel="0" collapsed="false">
      <c r="A24" s="0" t="s">
        <v>51</v>
      </c>
      <c r="B24" s="4" t="n">
        <v>45681</v>
      </c>
      <c r="C24" s="0" t="s">
        <v>27</v>
      </c>
      <c r="D24" s="3" t="s">
        <v>25</v>
      </c>
      <c r="E24" s="2" t="n">
        <v>951</v>
      </c>
      <c r="F24" s="5" t="n">
        <f aca="false">VLOOKUP(D24,Lookup!$A$2:$B$4,2,FALSE())</f>
        <v>0.15</v>
      </c>
      <c r="G24" s="2" t="n">
        <f aca="false">ROUND(E24*F24,2)</f>
        <v>142.65</v>
      </c>
      <c r="H24" s="2" t="n">
        <f aca="false">E24+G24</f>
        <v>1093.65</v>
      </c>
      <c r="I24" s="3" t="s">
        <v>22</v>
      </c>
      <c r="J24" s="0" t="str">
        <f aca="false">_xlfn.XLOOKUP(C24,Departments!$A$2:$A$6,Departments!$B$2:$B$6,"Unknown")</f>
        <v>Human Resources</v>
      </c>
    </row>
    <row r="25" customFormat="false" ht="15" hidden="false" customHeight="false" outlineLevel="0" collapsed="false">
      <c r="A25" s="0" t="s">
        <v>52</v>
      </c>
      <c r="B25" s="4" t="n">
        <v>45682</v>
      </c>
      <c r="C25" s="0" t="s">
        <v>30</v>
      </c>
      <c r="D25" s="3" t="s">
        <v>28</v>
      </c>
      <c r="E25" s="2" t="n">
        <v>988</v>
      </c>
      <c r="F25" s="5" t="n">
        <f aca="false">VLOOKUP(D25,Lookup!$A$2:$B$4,2,FALSE())</f>
        <v>0.05</v>
      </c>
      <c r="G25" s="2" t="n">
        <f aca="false">ROUND(E25*F25,2)</f>
        <v>49.4</v>
      </c>
      <c r="H25" s="2" t="n">
        <f aca="false">E25+G25</f>
        <v>1037.4</v>
      </c>
      <c r="I25" s="3" t="s">
        <v>22</v>
      </c>
      <c r="J25" s="0" t="str">
        <f aca="false">_xlfn.XLOOKUP(C25,Departments!$A$2:$A$6,Departments!$B$2:$B$6,"Unknown")</f>
        <v>Technology</v>
      </c>
    </row>
    <row r="26" customFormat="false" ht="15" hidden="false" customHeight="false" outlineLevel="0" collapsed="false">
      <c r="A26" s="0" t="s">
        <v>53</v>
      </c>
      <c r="B26" s="4" t="n">
        <v>45683</v>
      </c>
      <c r="C26" s="0" t="s">
        <v>32</v>
      </c>
      <c r="D26" s="3" t="s">
        <v>21</v>
      </c>
      <c r="E26" s="2" t="n">
        <v>1025</v>
      </c>
      <c r="F26" s="5" t="n">
        <f aca="false">VLOOKUP(D26,Lookup!$A$2:$B$4,2,FALSE())</f>
        <v>0.1</v>
      </c>
      <c r="G26" s="2" t="n">
        <f aca="false">ROUND(E26*F26,2)</f>
        <v>102.5</v>
      </c>
      <c r="H26" s="2" t="n">
        <f aca="false">E26+G26</f>
        <v>1127.5</v>
      </c>
      <c r="I26" s="3" t="s">
        <v>22</v>
      </c>
      <c r="J26" s="0" t="str">
        <f aca="false">_xlfn.XLOOKUP(C26,Departments!$A$2:$A$6,Departments!$B$2:$B$6,"Unknown")</f>
        <v>Operations</v>
      </c>
    </row>
    <row r="27" customFormat="false" ht="15" hidden="false" customHeight="false" outlineLevel="0" collapsed="false">
      <c r="A27" s="0" t="s">
        <v>54</v>
      </c>
      <c r="B27" s="4" t="n">
        <v>45684</v>
      </c>
      <c r="C27" s="0" t="s">
        <v>20</v>
      </c>
      <c r="D27" s="3" t="s">
        <v>25</v>
      </c>
      <c r="E27" s="2" t="n">
        <v>1062</v>
      </c>
      <c r="F27" s="5" t="n">
        <f aca="false">VLOOKUP(D27,Lookup!$A$2:$B$4,2,FALSE())</f>
        <v>0.15</v>
      </c>
      <c r="G27" s="2" t="n">
        <f aca="false">ROUND(E27*F27,2)</f>
        <v>159.3</v>
      </c>
      <c r="H27" s="2" t="n">
        <f aca="false">E27+G27</f>
        <v>1221.3</v>
      </c>
      <c r="I27" s="3" t="s">
        <v>22</v>
      </c>
      <c r="J27" s="0" t="str">
        <f aca="false">_xlfn.XLOOKUP(C27,Departments!$A$2:$A$6,Departments!$B$2:$B$6,"Unknown")</f>
        <v>Finance</v>
      </c>
    </row>
    <row r="28" customFormat="false" ht="15" hidden="false" customHeight="false" outlineLevel="0" collapsed="false">
      <c r="A28" s="0" t="s">
        <v>55</v>
      </c>
      <c r="B28" s="4" t="n">
        <v>45685</v>
      </c>
      <c r="C28" s="0" t="s">
        <v>24</v>
      </c>
      <c r="D28" s="3" t="s">
        <v>28</v>
      </c>
      <c r="E28" s="2" t="n">
        <v>1099</v>
      </c>
      <c r="F28" s="5" t="n">
        <f aca="false">VLOOKUP(D28,Lookup!$A$2:$B$4,2,FALSE())</f>
        <v>0.05</v>
      </c>
      <c r="G28" s="2" t="n">
        <f aca="false">ROUND(E28*F28,2)</f>
        <v>54.95</v>
      </c>
      <c r="H28" s="2" t="n">
        <f aca="false">E28+G28</f>
        <v>1153.95</v>
      </c>
      <c r="I28" s="3" t="s">
        <v>22</v>
      </c>
      <c r="J28" s="0" t="str">
        <f aca="false">_xlfn.XLOOKUP(C28,Departments!$A$2:$A$6,Departments!$B$2:$B$6,"Unknown")</f>
        <v>Quality</v>
      </c>
    </row>
    <row r="29" customFormat="false" ht="15" hidden="false" customHeight="false" outlineLevel="0" collapsed="false">
      <c r="A29" s="0" t="s">
        <v>56</v>
      </c>
      <c r="B29" s="4" t="n">
        <v>45686</v>
      </c>
      <c r="C29" s="0" t="s">
        <v>27</v>
      </c>
      <c r="D29" s="3" t="s">
        <v>21</v>
      </c>
      <c r="E29" s="2" t="n">
        <v>1136</v>
      </c>
      <c r="F29" s="5" t="n">
        <f aca="false">VLOOKUP(D29,Lookup!$A$2:$B$4,2,FALSE())</f>
        <v>0.1</v>
      </c>
      <c r="G29" s="2" t="n">
        <f aca="false">ROUND(E29*F29,2)</f>
        <v>113.6</v>
      </c>
      <c r="H29" s="2" t="n">
        <f aca="false">E29+G29</f>
        <v>1249.6</v>
      </c>
      <c r="I29" s="3" t="s">
        <v>35</v>
      </c>
      <c r="J29" s="0" t="str">
        <f aca="false">_xlfn.XLOOKUP(C29,Departments!$A$2:$A$6,Departments!$B$2:$B$6,"Unknown")</f>
        <v>Human Resources</v>
      </c>
    </row>
    <row r="30" customFormat="false" ht="15" hidden="false" customHeight="false" outlineLevel="0" collapsed="false">
      <c r="A30" s="0" t="s">
        <v>57</v>
      </c>
      <c r="B30" s="4" t="n">
        <v>45687</v>
      </c>
      <c r="C30" s="0" t="s">
        <v>30</v>
      </c>
      <c r="D30" s="3" t="s">
        <v>25</v>
      </c>
      <c r="E30" s="2" t="n">
        <v>1173</v>
      </c>
      <c r="F30" s="5" t="n">
        <f aca="false">VLOOKUP(D30,Lookup!$A$2:$B$4,2,FALSE())</f>
        <v>0.15</v>
      </c>
      <c r="G30" s="2" t="n">
        <f aca="false">ROUND(E30*F30,2)</f>
        <v>175.95</v>
      </c>
      <c r="H30" s="2" t="n">
        <f aca="false">E30+G30</f>
        <v>1348.95</v>
      </c>
      <c r="I30" s="3" t="s">
        <v>22</v>
      </c>
      <c r="J30" s="0" t="str">
        <f aca="false">_xlfn.XLOOKUP(C30,Departments!$A$2:$A$6,Departments!$B$2:$B$6,"Unknown")</f>
        <v>Technology</v>
      </c>
    </row>
    <row r="31" customFormat="false" ht="15" hidden="false" customHeight="false" outlineLevel="0" collapsed="false">
      <c r="A31" s="0" t="s">
        <v>58</v>
      </c>
      <c r="B31" s="4" t="n">
        <v>45688</v>
      </c>
      <c r="C31" s="0" t="s">
        <v>32</v>
      </c>
      <c r="D31" s="3" t="s">
        <v>28</v>
      </c>
      <c r="E31" s="2" t="n">
        <v>1210</v>
      </c>
      <c r="F31" s="5" t="n">
        <f aca="false">VLOOKUP(D31,Lookup!$A$2:$B$4,2,FALSE())</f>
        <v>0.05</v>
      </c>
      <c r="G31" s="2" t="n">
        <f aca="false">ROUND(E31*F31,2)</f>
        <v>60.5</v>
      </c>
      <c r="H31" s="2" t="n">
        <f aca="false">E31+G31</f>
        <v>1270.5</v>
      </c>
      <c r="I31" s="3" t="s">
        <v>22</v>
      </c>
      <c r="J31" s="0" t="str">
        <f aca="false">_xlfn.XLOOKUP(C31,Departments!$A$2:$A$6,Departments!$B$2:$B$6,"Unknown")</f>
        <v>Operations</v>
      </c>
    </row>
    <row r="32" customFormat="false" ht="15" hidden="false" customHeight="false" outlineLevel="0" collapsed="false">
      <c r="A32" s="0" t="s">
        <v>59</v>
      </c>
      <c r="B32" s="4" t="n">
        <v>45689</v>
      </c>
      <c r="C32" s="0" t="s">
        <v>20</v>
      </c>
      <c r="D32" s="3" t="s">
        <v>21</v>
      </c>
      <c r="E32" s="2" t="n">
        <v>1247</v>
      </c>
      <c r="F32" s="5" t="n">
        <f aca="false">VLOOKUP(D32,Lookup!$A$2:$B$4,2,FALSE())</f>
        <v>0.1</v>
      </c>
      <c r="G32" s="2" t="n">
        <f aca="false">ROUND(E32*F32,2)</f>
        <v>124.7</v>
      </c>
      <c r="H32" s="2" t="n">
        <f aca="false">E32+G32</f>
        <v>1371.7</v>
      </c>
      <c r="I32" s="3" t="s">
        <v>22</v>
      </c>
      <c r="J32" s="0" t="str">
        <f aca="false">_xlfn.XLOOKUP(C32,Departments!$A$2:$A$6,Departments!$B$2:$B$6,"Unknown")</f>
        <v>Finance</v>
      </c>
    </row>
    <row r="33" customFormat="false" ht="15" hidden="false" customHeight="false" outlineLevel="0" collapsed="false">
      <c r="A33" s="0" t="s">
        <v>60</v>
      </c>
      <c r="B33" s="4" t="n">
        <v>45690</v>
      </c>
      <c r="C33" s="0" t="s">
        <v>24</v>
      </c>
      <c r="D33" s="3" t="s">
        <v>25</v>
      </c>
      <c r="E33" s="2" t="n">
        <v>1284</v>
      </c>
      <c r="F33" s="5" t="n">
        <f aca="false">VLOOKUP(D33,Lookup!$A$2:$B$4,2,FALSE())</f>
        <v>0.15</v>
      </c>
      <c r="G33" s="2" t="n">
        <f aca="false">ROUND(E33*F33,2)</f>
        <v>192.6</v>
      </c>
      <c r="H33" s="2" t="n">
        <f aca="false">E33+G33</f>
        <v>1476.6</v>
      </c>
      <c r="I33" s="3" t="s">
        <v>22</v>
      </c>
      <c r="J33" s="0" t="str">
        <f aca="false">_xlfn.XLOOKUP(C33,Departments!$A$2:$A$6,Departments!$B$2:$B$6,"Unknown")</f>
        <v>Quality</v>
      </c>
    </row>
    <row r="34" customFormat="false" ht="15" hidden="false" customHeight="false" outlineLevel="0" collapsed="false">
      <c r="A34" s="0" t="s">
        <v>61</v>
      </c>
      <c r="B34" s="4" t="n">
        <v>45691</v>
      </c>
      <c r="C34" s="0" t="s">
        <v>27</v>
      </c>
      <c r="D34" s="3" t="s">
        <v>28</v>
      </c>
      <c r="E34" s="2" t="n">
        <v>1321</v>
      </c>
      <c r="F34" s="5" t="n">
        <f aca="false">VLOOKUP(D34,Lookup!$A$2:$B$4,2,FALSE())</f>
        <v>0.05</v>
      </c>
      <c r="G34" s="2" t="n">
        <f aca="false">ROUND(E34*F34,2)</f>
        <v>66.05</v>
      </c>
      <c r="H34" s="2" t="n">
        <f aca="false">E34+G34</f>
        <v>1387.05</v>
      </c>
      <c r="I34" s="3" t="s">
        <v>22</v>
      </c>
      <c r="J34" s="0" t="str">
        <f aca="false">_xlfn.XLOOKUP(C34,Departments!$A$2:$A$6,Departments!$B$2:$B$6,"Unknown")</f>
        <v>Human Resources</v>
      </c>
    </row>
    <row r="35" customFormat="false" ht="15" hidden="false" customHeight="false" outlineLevel="0" collapsed="false">
      <c r="A35" s="0" t="s">
        <v>62</v>
      </c>
      <c r="B35" s="4" t="n">
        <v>45692</v>
      </c>
      <c r="C35" s="0" t="s">
        <v>30</v>
      </c>
      <c r="D35" s="3" t="s">
        <v>21</v>
      </c>
      <c r="E35" s="2" t="n">
        <v>1358</v>
      </c>
      <c r="F35" s="5" t="n">
        <f aca="false">VLOOKUP(D35,Lookup!$A$2:$B$4,2,FALSE())</f>
        <v>0.1</v>
      </c>
      <c r="G35" s="2" t="n">
        <f aca="false">ROUND(E35*F35,2)</f>
        <v>135.8</v>
      </c>
      <c r="H35" s="2" t="n">
        <f aca="false">E35+G35</f>
        <v>1493.8</v>
      </c>
      <c r="I35" s="3" t="s">
        <v>22</v>
      </c>
      <c r="J35" s="0" t="str">
        <f aca="false">_xlfn.XLOOKUP(C35,Departments!$A$2:$A$6,Departments!$B$2:$B$6,"Unknown")</f>
        <v>Technology</v>
      </c>
    </row>
    <row r="36" customFormat="false" ht="15" hidden="false" customHeight="false" outlineLevel="0" collapsed="false">
      <c r="A36" s="0" t="s">
        <v>63</v>
      </c>
      <c r="B36" s="4" t="n">
        <v>45693</v>
      </c>
      <c r="C36" s="0" t="s">
        <v>32</v>
      </c>
      <c r="D36" s="3" t="s">
        <v>25</v>
      </c>
      <c r="E36" s="2" t="n">
        <v>1395</v>
      </c>
      <c r="F36" s="5" t="n">
        <f aca="false">VLOOKUP(D36,Lookup!$A$2:$B$4,2,FALSE())</f>
        <v>0.15</v>
      </c>
      <c r="G36" s="2" t="n">
        <f aca="false">ROUND(E36*F36,2)</f>
        <v>209.25</v>
      </c>
      <c r="H36" s="2" t="n">
        <f aca="false">E36+G36</f>
        <v>1604.25</v>
      </c>
      <c r="I36" s="3" t="s">
        <v>35</v>
      </c>
      <c r="J36" s="0" t="str">
        <f aca="false">_xlfn.XLOOKUP(C36,Departments!$A$2:$A$6,Departments!$B$2:$B$6,"Unknown")</f>
        <v>Operations</v>
      </c>
    </row>
    <row r="37" customFormat="false" ht="15" hidden="false" customHeight="false" outlineLevel="0" collapsed="false">
      <c r="A37" s="0" t="s">
        <v>64</v>
      </c>
      <c r="B37" s="4" t="n">
        <v>45694</v>
      </c>
      <c r="C37" s="0" t="s">
        <v>20</v>
      </c>
      <c r="D37" s="3" t="s">
        <v>28</v>
      </c>
      <c r="E37" s="2" t="n">
        <v>1432</v>
      </c>
      <c r="F37" s="5" t="n">
        <f aca="false">VLOOKUP(D37,Lookup!$A$2:$B$4,2,FALSE())</f>
        <v>0.05</v>
      </c>
      <c r="G37" s="2" t="n">
        <f aca="false">ROUND(E37*F37,2)</f>
        <v>71.6</v>
      </c>
      <c r="H37" s="2" t="n">
        <f aca="false">E37+G37</f>
        <v>1503.6</v>
      </c>
      <c r="I37" s="3" t="s">
        <v>22</v>
      </c>
      <c r="J37" s="0" t="str">
        <f aca="false">_xlfn.XLOOKUP(C37,Departments!$A$2:$A$6,Departments!$B$2:$B$6,"Unknown")</f>
        <v>Finance</v>
      </c>
    </row>
    <row r="38" customFormat="false" ht="15" hidden="false" customHeight="false" outlineLevel="0" collapsed="false">
      <c r="A38" s="0" t="s">
        <v>65</v>
      </c>
      <c r="B38" s="4" t="n">
        <v>45695</v>
      </c>
      <c r="C38" s="0" t="s">
        <v>24</v>
      </c>
      <c r="D38" s="3" t="s">
        <v>21</v>
      </c>
      <c r="E38" s="2" t="n">
        <v>1469</v>
      </c>
      <c r="F38" s="5" t="n">
        <f aca="false">VLOOKUP(D38,Lookup!$A$2:$B$4,2,FALSE())</f>
        <v>0.1</v>
      </c>
      <c r="G38" s="2" t="n">
        <f aca="false">ROUND(E38*F38,2)</f>
        <v>146.9</v>
      </c>
      <c r="H38" s="2" t="n">
        <f aca="false">E38+G38</f>
        <v>1615.9</v>
      </c>
      <c r="I38" s="3" t="s">
        <v>22</v>
      </c>
      <c r="J38" s="0" t="str">
        <f aca="false">_xlfn.XLOOKUP(C38,Departments!$A$2:$A$6,Departments!$B$2:$B$6,"Unknown")</f>
        <v>Quality</v>
      </c>
    </row>
    <row r="39" customFormat="false" ht="15" hidden="false" customHeight="false" outlineLevel="0" collapsed="false">
      <c r="A39" s="0" t="s">
        <v>66</v>
      </c>
      <c r="B39" s="4" t="n">
        <v>45696</v>
      </c>
      <c r="C39" s="0" t="s">
        <v>27</v>
      </c>
      <c r="D39" s="3" t="s">
        <v>25</v>
      </c>
      <c r="E39" s="2" t="n">
        <v>1506</v>
      </c>
      <c r="F39" s="5" t="n">
        <f aca="false">VLOOKUP(D39,Lookup!$A$2:$B$4,2,FALSE())</f>
        <v>0.15</v>
      </c>
      <c r="G39" s="2" t="n">
        <f aca="false">ROUND(E39*F39,2)</f>
        <v>225.9</v>
      </c>
      <c r="H39" s="2" t="n">
        <f aca="false">E39+G39</f>
        <v>1731.9</v>
      </c>
      <c r="I39" s="3" t="s">
        <v>22</v>
      </c>
      <c r="J39" s="0" t="str">
        <f aca="false">_xlfn.XLOOKUP(C39,Departments!$A$2:$A$6,Departments!$B$2:$B$6,"Unknown")</f>
        <v>Human Resources</v>
      </c>
    </row>
    <row r="40" customFormat="false" ht="15" hidden="false" customHeight="false" outlineLevel="0" collapsed="false">
      <c r="A40" s="0" t="s">
        <v>67</v>
      </c>
      <c r="B40" s="4" t="n">
        <v>45697</v>
      </c>
      <c r="C40" s="0" t="s">
        <v>30</v>
      </c>
      <c r="D40" s="3" t="s">
        <v>28</v>
      </c>
      <c r="E40" s="2" t="n">
        <v>1543</v>
      </c>
      <c r="F40" s="5" t="n">
        <f aca="false">VLOOKUP(D40,Lookup!$A$2:$B$4,2,FALSE())</f>
        <v>0.05</v>
      </c>
      <c r="G40" s="2" t="n">
        <f aca="false">ROUND(E40*F40,2)</f>
        <v>77.15</v>
      </c>
      <c r="H40" s="2" t="n">
        <f aca="false">E40+G40</f>
        <v>1620.15</v>
      </c>
      <c r="I40" s="3" t="s">
        <v>22</v>
      </c>
      <c r="J40" s="0" t="str">
        <f aca="false">_xlfn.XLOOKUP(C40,Departments!$A$2:$A$6,Departments!$B$2:$B$6,"Unknown")</f>
        <v>Technology</v>
      </c>
    </row>
    <row r="41" customFormat="false" ht="15" hidden="false" customHeight="false" outlineLevel="0" collapsed="false">
      <c r="A41" s="0" t="s">
        <v>68</v>
      </c>
      <c r="B41" s="4" t="n">
        <v>45698</v>
      </c>
      <c r="C41" s="0" t="s">
        <v>32</v>
      </c>
      <c r="D41" s="3" t="s">
        <v>21</v>
      </c>
      <c r="E41" s="2" t="n">
        <v>1580</v>
      </c>
      <c r="F41" s="5" t="n">
        <f aca="false">VLOOKUP(D41,Lookup!$A$2:$B$4,2,FALSE())</f>
        <v>0.1</v>
      </c>
      <c r="G41" s="2" t="n">
        <f aca="false">ROUND(E41*F41,2)</f>
        <v>158</v>
      </c>
      <c r="H41" s="2" t="n">
        <f aca="false">E41+G41</f>
        <v>1738</v>
      </c>
      <c r="I41" s="3" t="s">
        <v>22</v>
      </c>
      <c r="J41" s="0" t="str">
        <f aca="false">_xlfn.XLOOKUP(C41,Departments!$A$2:$A$6,Departments!$B$2:$B$6,"Unknown")</f>
        <v>Operations</v>
      </c>
    </row>
    <row r="42" customFormat="false" ht="15" hidden="false" customHeight="false" outlineLevel="0" collapsed="false">
      <c r="A42" s="0" t="s">
        <v>69</v>
      </c>
      <c r="B42" s="4" t="n">
        <v>45699</v>
      </c>
      <c r="C42" s="0" t="s">
        <v>20</v>
      </c>
      <c r="D42" s="3" t="s">
        <v>25</v>
      </c>
      <c r="E42" s="2" t="n">
        <v>1617</v>
      </c>
      <c r="F42" s="5" t="n">
        <f aca="false">VLOOKUP(D42,Lookup!$A$2:$B$4,2,FALSE())</f>
        <v>0.15</v>
      </c>
      <c r="G42" s="2" t="n">
        <f aca="false">ROUND(E42*F42,2)</f>
        <v>242.55</v>
      </c>
      <c r="H42" s="2" t="n">
        <f aca="false">E42+G42</f>
        <v>1859.55</v>
      </c>
      <c r="I42" s="3" t="s">
        <v>22</v>
      </c>
      <c r="J42" s="0" t="str">
        <f aca="false">_xlfn.XLOOKUP(C42,Departments!$A$2:$A$6,Departments!$B$2:$B$6,"Unknown")</f>
        <v>Finance</v>
      </c>
    </row>
    <row r="43" customFormat="false" ht="15" hidden="false" customHeight="false" outlineLevel="0" collapsed="false">
      <c r="A43" s="0" t="s">
        <v>70</v>
      </c>
      <c r="B43" s="4" t="n">
        <v>45700</v>
      </c>
      <c r="C43" s="0" t="s">
        <v>24</v>
      </c>
      <c r="D43" s="3" t="s">
        <v>28</v>
      </c>
      <c r="E43" s="2" t="n">
        <v>1654</v>
      </c>
      <c r="F43" s="5" t="n">
        <f aca="false">VLOOKUP(D43,Lookup!$A$2:$B$4,2,FALSE())</f>
        <v>0.05</v>
      </c>
      <c r="G43" s="2" t="n">
        <f aca="false">ROUND(E43*F43,2)</f>
        <v>82.7</v>
      </c>
      <c r="H43" s="2" t="n">
        <f aca="false">E43+G43</f>
        <v>1736.7</v>
      </c>
      <c r="I43" s="3" t="s">
        <v>35</v>
      </c>
      <c r="J43" s="0" t="str">
        <f aca="false">_xlfn.XLOOKUP(C43,Departments!$A$2:$A$6,Departments!$B$2:$B$6,"Unknown")</f>
        <v>Quality</v>
      </c>
    </row>
    <row r="44" customFormat="false" ht="15" hidden="false" customHeight="false" outlineLevel="0" collapsed="false">
      <c r="A44" s="0" t="s">
        <v>71</v>
      </c>
      <c r="B44" s="4" t="n">
        <v>45701</v>
      </c>
      <c r="C44" s="0" t="s">
        <v>27</v>
      </c>
      <c r="D44" s="3" t="s">
        <v>21</v>
      </c>
      <c r="E44" s="2" t="n">
        <v>1691</v>
      </c>
      <c r="F44" s="5" t="n">
        <f aca="false">VLOOKUP(D44,Lookup!$A$2:$B$4,2,FALSE())</f>
        <v>0.1</v>
      </c>
      <c r="G44" s="2" t="n">
        <f aca="false">ROUND(E44*F44,2)</f>
        <v>169.1</v>
      </c>
      <c r="H44" s="2" t="n">
        <f aca="false">E44+G44</f>
        <v>1860.1</v>
      </c>
      <c r="I44" s="3" t="s">
        <v>22</v>
      </c>
      <c r="J44" s="0" t="str">
        <f aca="false">_xlfn.XLOOKUP(C44,Departments!$A$2:$A$6,Departments!$B$2:$B$6,"Unknown")</f>
        <v>Human Resources</v>
      </c>
    </row>
    <row r="45" customFormat="false" ht="15" hidden="false" customHeight="false" outlineLevel="0" collapsed="false">
      <c r="A45" s="0" t="s">
        <v>72</v>
      </c>
      <c r="B45" s="4" t="n">
        <v>45702</v>
      </c>
      <c r="C45" s="0" t="s">
        <v>30</v>
      </c>
      <c r="D45" s="3" t="s">
        <v>25</v>
      </c>
      <c r="E45" s="2" t="n">
        <v>1728</v>
      </c>
      <c r="F45" s="5" t="n">
        <f aca="false">VLOOKUP(D45,Lookup!$A$2:$B$4,2,FALSE())</f>
        <v>0.15</v>
      </c>
      <c r="G45" s="2" t="n">
        <f aca="false">ROUND(E45*F45,2)</f>
        <v>259.2</v>
      </c>
      <c r="H45" s="2" t="n">
        <f aca="false">E45+G45</f>
        <v>1987.2</v>
      </c>
      <c r="I45" s="3" t="s">
        <v>22</v>
      </c>
      <c r="J45" s="0" t="str">
        <f aca="false">_xlfn.XLOOKUP(C45,Departments!$A$2:$A$6,Departments!$B$2:$B$6,"Unknown")</f>
        <v>Technology</v>
      </c>
    </row>
    <row r="46" customFormat="false" ht="15" hidden="false" customHeight="false" outlineLevel="0" collapsed="false">
      <c r="A46" s="0" t="s">
        <v>73</v>
      </c>
      <c r="B46" s="4" t="n">
        <v>45703</v>
      </c>
      <c r="C46" s="0" t="s">
        <v>32</v>
      </c>
      <c r="D46" s="3" t="s">
        <v>28</v>
      </c>
      <c r="E46" s="2" t="n">
        <v>1765</v>
      </c>
      <c r="F46" s="5" t="n">
        <f aca="false">VLOOKUP(D46,Lookup!$A$2:$B$4,2,FALSE())</f>
        <v>0.05</v>
      </c>
      <c r="G46" s="2" t="n">
        <f aca="false">ROUND(E46*F46,2)</f>
        <v>88.25</v>
      </c>
      <c r="H46" s="2" t="n">
        <f aca="false">E46+G46</f>
        <v>1853.25</v>
      </c>
      <c r="I46" s="3" t="s">
        <v>22</v>
      </c>
      <c r="J46" s="0" t="str">
        <f aca="false">_xlfn.XLOOKUP(C46,Departments!$A$2:$A$6,Departments!$B$2:$B$6,"Unknown")</f>
        <v>Operations</v>
      </c>
    </row>
    <row r="47" customFormat="false" ht="15" hidden="false" customHeight="false" outlineLevel="0" collapsed="false">
      <c r="A47" s="0" t="s">
        <v>74</v>
      </c>
      <c r="B47" s="4" t="n">
        <v>45704</v>
      </c>
      <c r="C47" s="0" t="s">
        <v>20</v>
      </c>
      <c r="D47" s="3" t="s">
        <v>21</v>
      </c>
      <c r="E47" s="2" t="n">
        <v>1802</v>
      </c>
      <c r="F47" s="5" t="n">
        <f aca="false">VLOOKUP(D47,Lookup!$A$2:$B$4,2,FALSE())</f>
        <v>0.1</v>
      </c>
      <c r="G47" s="2" t="n">
        <f aca="false">ROUND(E47*F47,2)</f>
        <v>180.2</v>
      </c>
      <c r="H47" s="2" t="n">
        <f aca="false">E47+G47</f>
        <v>1982.2</v>
      </c>
      <c r="I47" s="3" t="s">
        <v>22</v>
      </c>
      <c r="J47" s="0" t="str">
        <f aca="false">_xlfn.XLOOKUP(C47,Departments!$A$2:$A$6,Departments!$B$2:$B$6,"Unknown")</f>
        <v>Finance</v>
      </c>
    </row>
    <row r="48" customFormat="false" ht="15" hidden="false" customHeight="false" outlineLevel="0" collapsed="false">
      <c r="A48" s="0" t="s">
        <v>75</v>
      </c>
      <c r="B48" s="4" t="n">
        <v>45705</v>
      </c>
      <c r="C48" s="0" t="s">
        <v>24</v>
      </c>
      <c r="D48" s="3" t="s">
        <v>25</v>
      </c>
      <c r="E48" s="2" t="n">
        <v>1839</v>
      </c>
      <c r="F48" s="5" t="n">
        <f aca="false">VLOOKUP(D48,Lookup!$A$2:$B$4,2,FALSE())</f>
        <v>0.15</v>
      </c>
      <c r="G48" s="2" t="n">
        <f aca="false">ROUND(E48*F48,2)</f>
        <v>275.85</v>
      </c>
      <c r="H48" s="2" t="n">
        <f aca="false">E48+G48</f>
        <v>2114.85</v>
      </c>
      <c r="I48" s="3" t="s">
        <v>22</v>
      </c>
      <c r="J48" s="0" t="str">
        <f aca="false">_xlfn.XLOOKUP(C48,Departments!$A$2:$A$6,Departments!$B$2:$B$6,"Unknown")</f>
        <v>Quality</v>
      </c>
    </row>
    <row r="49" customFormat="false" ht="15" hidden="false" customHeight="false" outlineLevel="0" collapsed="false">
      <c r="A49" s="0" t="s">
        <v>76</v>
      </c>
      <c r="B49" s="4" t="n">
        <v>45706</v>
      </c>
      <c r="C49" s="0" t="s">
        <v>27</v>
      </c>
      <c r="D49" s="3" t="s">
        <v>28</v>
      </c>
      <c r="E49" s="2" t="n">
        <v>1876</v>
      </c>
      <c r="F49" s="5" t="n">
        <f aca="false">VLOOKUP(D49,Lookup!$A$2:$B$4,2,FALSE())</f>
        <v>0.05</v>
      </c>
      <c r="G49" s="2" t="n">
        <f aca="false">ROUND(E49*F49,2)</f>
        <v>93.8</v>
      </c>
      <c r="H49" s="2" t="n">
        <f aca="false">E49+G49</f>
        <v>1969.8</v>
      </c>
      <c r="I49" s="3" t="s">
        <v>22</v>
      </c>
      <c r="J49" s="0" t="str">
        <f aca="false">_xlfn.XLOOKUP(C49,Departments!$A$2:$A$6,Departments!$B$2:$B$6,"Unknown")</f>
        <v>Human Resources</v>
      </c>
    </row>
    <row r="50" customFormat="false" ht="15" hidden="false" customHeight="false" outlineLevel="0" collapsed="false">
      <c r="A50" s="0" t="s">
        <v>77</v>
      </c>
      <c r="B50" s="4" t="n">
        <v>45707</v>
      </c>
      <c r="C50" s="0" t="s">
        <v>30</v>
      </c>
      <c r="D50" s="3" t="s">
        <v>21</v>
      </c>
      <c r="E50" s="2" t="n">
        <v>1913</v>
      </c>
      <c r="F50" s="5" t="n">
        <f aca="false">VLOOKUP(D50,Lookup!$A$2:$B$4,2,FALSE())</f>
        <v>0.1</v>
      </c>
      <c r="G50" s="2" t="n">
        <f aca="false">ROUND(E50*F50,2)</f>
        <v>191.3</v>
      </c>
      <c r="H50" s="2" t="n">
        <f aca="false">E50+G50</f>
        <v>2104.3</v>
      </c>
      <c r="I50" s="3" t="s">
        <v>35</v>
      </c>
      <c r="J50" s="0" t="str">
        <f aca="false">_xlfn.XLOOKUP(C50,Departments!$A$2:$A$6,Departments!$B$2:$B$6,"Unknown")</f>
        <v>Technology</v>
      </c>
    </row>
    <row r="51" customFormat="false" ht="15" hidden="false" customHeight="false" outlineLevel="0" collapsed="false">
      <c r="A51" s="0" t="s">
        <v>78</v>
      </c>
      <c r="B51" s="4" t="n">
        <v>45708</v>
      </c>
      <c r="C51" s="0" t="s">
        <v>32</v>
      </c>
      <c r="D51" s="3" t="s">
        <v>25</v>
      </c>
      <c r="E51" s="2" t="n">
        <v>1950</v>
      </c>
      <c r="F51" s="5" t="n">
        <f aca="false">VLOOKUP(D51,Lookup!$A$2:$B$4,2,FALSE())</f>
        <v>0.15</v>
      </c>
      <c r="G51" s="2" t="n">
        <f aca="false">ROUND(E51*F51,2)</f>
        <v>292.5</v>
      </c>
      <c r="H51" s="2" t="n">
        <f aca="false">E51+G51</f>
        <v>2242.5</v>
      </c>
      <c r="I51" s="3" t="s">
        <v>22</v>
      </c>
      <c r="J51" s="0" t="str">
        <f aca="false">_xlfn.XLOOKUP(C51,Departments!$A$2:$A$6,Departments!$B$2:$B$6,"Unknown")</f>
        <v>Operations</v>
      </c>
    </row>
    <row r="52" customFormat="false" ht="15" hidden="false" customHeight="false" outlineLevel="0" collapsed="false">
      <c r="A52" s="0" t="s">
        <v>79</v>
      </c>
      <c r="B52" s="4" t="n">
        <v>45709</v>
      </c>
      <c r="C52" s="0" t="s">
        <v>20</v>
      </c>
      <c r="D52" s="3" t="s">
        <v>28</v>
      </c>
      <c r="E52" s="2" t="n">
        <v>1987</v>
      </c>
      <c r="F52" s="5" t="n">
        <f aca="false">VLOOKUP(D52,Lookup!$A$2:$B$4,2,FALSE())</f>
        <v>0.05</v>
      </c>
      <c r="G52" s="2" t="n">
        <f aca="false">ROUND(E52*F52,2)</f>
        <v>99.35</v>
      </c>
      <c r="H52" s="2" t="n">
        <f aca="false">E52+G52</f>
        <v>2086.35</v>
      </c>
      <c r="I52" s="3" t="s">
        <v>22</v>
      </c>
      <c r="J52" s="0" t="str">
        <f aca="false">_xlfn.XLOOKUP(C52,Departments!$A$2:$A$6,Departments!$B$2:$B$6,"Unknown")</f>
        <v>Finance</v>
      </c>
    </row>
    <row r="53" customFormat="false" ht="15" hidden="false" customHeight="false" outlineLevel="0" collapsed="false">
      <c r="A53" s="0" t="s">
        <v>80</v>
      </c>
      <c r="B53" s="4" t="n">
        <v>45710</v>
      </c>
      <c r="C53" s="0" t="s">
        <v>24</v>
      </c>
      <c r="D53" s="3" t="s">
        <v>21</v>
      </c>
      <c r="E53" s="2" t="n">
        <v>2024</v>
      </c>
      <c r="F53" s="5" t="n">
        <f aca="false">VLOOKUP(D53,Lookup!$A$2:$B$4,2,FALSE())</f>
        <v>0.1</v>
      </c>
      <c r="G53" s="2" t="n">
        <f aca="false">ROUND(E53*F53,2)</f>
        <v>202.4</v>
      </c>
      <c r="H53" s="2" t="n">
        <f aca="false">E53+G53</f>
        <v>2226.4</v>
      </c>
      <c r="I53" s="3" t="s">
        <v>22</v>
      </c>
      <c r="J53" s="0" t="str">
        <f aca="false">_xlfn.XLOOKUP(C53,Departments!$A$2:$A$6,Departments!$B$2:$B$6,"Unknown")</f>
        <v>Quality</v>
      </c>
    </row>
    <row r="54" customFormat="false" ht="15" hidden="false" customHeight="false" outlineLevel="0" collapsed="false">
      <c r="A54" s="0" t="s">
        <v>81</v>
      </c>
      <c r="B54" s="4" t="n">
        <v>45711</v>
      </c>
      <c r="C54" s="0" t="s">
        <v>27</v>
      </c>
      <c r="D54" s="3" t="s">
        <v>25</v>
      </c>
      <c r="E54" s="2" t="n">
        <v>2061</v>
      </c>
      <c r="F54" s="5" t="n">
        <f aca="false">VLOOKUP(D54,Lookup!$A$2:$B$4,2,FALSE())</f>
        <v>0.15</v>
      </c>
      <c r="G54" s="2" t="n">
        <f aca="false">ROUND(E54*F54,2)</f>
        <v>309.15</v>
      </c>
      <c r="H54" s="2" t="n">
        <f aca="false">E54+G54</f>
        <v>2370.15</v>
      </c>
      <c r="I54" s="3" t="s">
        <v>22</v>
      </c>
      <c r="J54" s="0" t="str">
        <f aca="false">_xlfn.XLOOKUP(C54,Departments!$A$2:$A$6,Departments!$B$2:$B$6,"Unknown")</f>
        <v>Human Resources</v>
      </c>
    </row>
    <row r="55" customFormat="false" ht="15" hidden="false" customHeight="false" outlineLevel="0" collapsed="false">
      <c r="A55" s="0" t="s">
        <v>82</v>
      </c>
      <c r="B55" s="4" t="n">
        <v>45712</v>
      </c>
      <c r="C55" s="0" t="s">
        <v>30</v>
      </c>
      <c r="D55" s="3" t="s">
        <v>28</v>
      </c>
      <c r="E55" s="2" t="n">
        <v>2098</v>
      </c>
      <c r="F55" s="5" t="n">
        <f aca="false">VLOOKUP(D55,Lookup!$A$2:$B$4,2,FALSE())</f>
        <v>0.05</v>
      </c>
      <c r="G55" s="2" t="n">
        <f aca="false">ROUND(E55*F55,2)</f>
        <v>104.9</v>
      </c>
      <c r="H55" s="2" t="n">
        <f aca="false">E55+G55</f>
        <v>2202.9</v>
      </c>
      <c r="I55" s="3" t="s">
        <v>22</v>
      </c>
      <c r="J55" s="0" t="str">
        <f aca="false">_xlfn.XLOOKUP(C55,Departments!$A$2:$A$6,Departments!$B$2:$B$6,"Unknown")</f>
        <v>Technology</v>
      </c>
    </row>
    <row r="56" customFormat="false" ht="15" hidden="false" customHeight="false" outlineLevel="0" collapsed="false">
      <c r="A56" s="0" t="s">
        <v>83</v>
      </c>
      <c r="B56" s="4" t="n">
        <v>45713</v>
      </c>
      <c r="C56" s="0" t="s">
        <v>32</v>
      </c>
      <c r="D56" s="3" t="s">
        <v>21</v>
      </c>
      <c r="E56" s="2" t="n">
        <v>2135</v>
      </c>
      <c r="F56" s="5" t="n">
        <f aca="false">VLOOKUP(D56,Lookup!$A$2:$B$4,2,FALSE())</f>
        <v>0.1</v>
      </c>
      <c r="G56" s="2" t="n">
        <f aca="false">ROUND(E56*F56,2)</f>
        <v>213.5</v>
      </c>
      <c r="H56" s="2" t="n">
        <f aca="false">E56+G56</f>
        <v>2348.5</v>
      </c>
      <c r="I56" s="3" t="s">
        <v>22</v>
      </c>
      <c r="J56" s="0" t="str">
        <f aca="false">_xlfn.XLOOKUP(C56,Departments!$A$2:$A$6,Departments!$B$2:$B$6,"Unknown")</f>
        <v>Operations</v>
      </c>
    </row>
    <row r="57" customFormat="false" ht="15" hidden="false" customHeight="false" outlineLevel="0" collapsed="false">
      <c r="A57" s="0" t="s">
        <v>84</v>
      </c>
      <c r="B57" s="4" t="n">
        <v>45714</v>
      </c>
      <c r="C57" s="0" t="s">
        <v>20</v>
      </c>
      <c r="D57" s="3" t="s">
        <v>25</v>
      </c>
      <c r="E57" s="2" t="n">
        <v>2172</v>
      </c>
      <c r="F57" s="5" t="n">
        <f aca="false">VLOOKUP(D57,Lookup!$A$2:$B$4,2,FALSE())</f>
        <v>0.15</v>
      </c>
      <c r="G57" s="2" t="n">
        <f aca="false">ROUND(E57*F57,2)</f>
        <v>325.8</v>
      </c>
      <c r="H57" s="2" t="n">
        <f aca="false">E57+G57</f>
        <v>2497.8</v>
      </c>
      <c r="I57" s="3" t="s">
        <v>35</v>
      </c>
      <c r="J57" s="0" t="str">
        <f aca="false">_xlfn.XLOOKUP(C57,Departments!$A$2:$A$6,Departments!$B$2:$B$6,"Unknown")</f>
        <v>Finance</v>
      </c>
    </row>
    <row r="58" customFormat="false" ht="15" hidden="false" customHeight="false" outlineLevel="0" collapsed="false">
      <c r="A58" s="0" t="s">
        <v>85</v>
      </c>
      <c r="B58" s="4" t="n">
        <v>45715</v>
      </c>
      <c r="C58" s="0" t="s">
        <v>24</v>
      </c>
      <c r="D58" s="3" t="s">
        <v>28</v>
      </c>
      <c r="E58" s="2" t="n">
        <v>2209</v>
      </c>
      <c r="F58" s="5" t="n">
        <f aca="false">VLOOKUP(D58,Lookup!$A$2:$B$4,2,FALSE())</f>
        <v>0.05</v>
      </c>
      <c r="G58" s="2" t="n">
        <f aca="false">ROUND(E58*F58,2)</f>
        <v>110.45</v>
      </c>
      <c r="H58" s="2" t="n">
        <f aca="false">E58+G58</f>
        <v>2319.45</v>
      </c>
      <c r="I58" s="3" t="s">
        <v>22</v>
      </c>
      <c r="J58" s="0" t="str">
        <f aca="false">_xlfn.XLOOKUP(C58,Departments!$A$2:$A$6,Departments!$B$2:$B$6,"Unknown")</f>
        <v>Quality</v>
      </c>
    </row>
    <row r="59" customFormat="false" ht="15" hidden="false" customHeight="false" outlineLevel="0" collapsed="false">
      <c r="A59" s="0" t="s">
        <v>86</v>
      </c>
      <c r="B59" s="4" t="n">
        <v>45716</v>
      </c>
      <c r="C59" s="0" t="s">
        <v>27</v>
      </c>
      <c r="D59" s="3" t="s">
        <v>21</v>
      </c>
      <c r="E59" s="2" t="n">
        <v>2246</v>
      </c>
      <c r="F59" s="5" t="n">
        <f aca="false">VLOOKUP(D59,Lookup!$A$2:$B$4,2,FALSE())</f>
        <v>0.1</v>
      </c>
      <c r="G59" s="2" t="n">
        <f aca="false">ROUND(E59*F59,2)</f>
        <v>224.6</v>
      </c>
      <c r="H59" s="2" t="n">
        <f aca="false">E59+G59</f>
        <v>2470.6</v>
      </c>
      <c r="I59" s="3" t="s">
        <v>22</v>
      </c>
      <c r="J59" s="0" t="str">
        <f aca="false">_xlfn.XLOOKUP(C59,Departments!$A$2:$A$6,Departments!$B$2:$B$6,"Unknown")</f>
        <v>Human Resources</v>
      </c>
    </row>
    <row r="60" customFormat="false" ht="15" hidden="false" customHeight="false" outlineLevel="0" collapsed="false">
      <c r="A60" s="0" t="s">
        <v>87</v>
      </c>
      <c r="B60" s="4" t="n">
        <v>45717</v>
      </c>
      <c r="C60" s="0" t="s">
        <v>30</v>
      </c>
      <c r="D60" s="3" t="s">
        <v>25</v>
      </c>
      <c r="E60" s="2" t="n">
        <v>2283</v>
      </c>
      <c r="F60" s="5" t="n">
        <f aca="false">VLOOKUP(D60,Lookup!$A$2:$B$4,2,FALSE())</f>
        <v>0.15</v>
      </c>
      <c r="G60" s="2" t="n">
        <f aca="false">ROUND(E60*F60,2)</f>
        <v>342.45</v>
      </c>
      <c r="H60" s="2" t="n">
        <f aca="false">E60+G60</f>
        <v>2625.45</v>
      </c>
      <c r="I60" s="3" t="s">
        <v>22</v>
      </c>
      <c r="J60" s="0" t="str">
        <f aca="false">_xlfn.XLOOKUP(C60,Departments!$A$2:$A$6,Departments!$B$2:$B$6,"Unknown")</f>
        <v>Technology</v>
      </c>
    </row>
    <row r="61" customFormat="false" ht="15" hidden="false" customHeight="false" outlineLevel="0" collapsed="false">
      <c r="A61" s="0" t="s">
        <v>88</v>
      </c>
      <c r="B61" s="4" t="n">
        <v>45718</v>
      </c>
      <c r="C61" s="0" t="s">
        <v>32</v>
      </c>
      <c r="D61" s="3" t="s">
        <v>28</v>
      </c>
      <c r="E61" s="2" t="n">
        <v>2320</v>
      </c>
      <c r="F61" s="5" t="n">
        <f aca="false">VLOOKUP(D61,Lookup!$A$2:$B$4,2,FALSE())</f>
        <v>0.05</v>
      </c>
      <c r="G61" s="2" t="n">
        <f aca="false">ROUND(E61*F61,2)</f>
        <v>116</v>
      </c>
      <c r="H61" s="2" t="n">
        <f aca="false">E61+G61</f>
        <v>2436</v>
      </c>
      <c r="I61" s="3" t="s">
        <v>22</v>
      </c>
      <c r="J61" s="0" t="str">
        <f aca="false">_xlfn.XLOOKUP(C61,Departments!$A$2:$A$6,Departments!$B$2:$B$6,"Unknown")</f>
        <v>Operations</v>
      </c>
    </row>
    <row r="62" customFormat="false" ht="15" hidden="false" customHeight="false" outlineLevel="0" collapsed="false">
      <c r="A62" s="0" t="s">
        <v>89</v>
      </c>
      <c r="B62" s="4" t="n">
        <v>45719</v>
      </c>
      <c r="C62" s="0" t="s">
        <v>20</v>
      </c>
      <c r="D62" s="3" t="s">
        <v>21</v>
      </c>
      <c r="E62" s="2" t="n">
        <v>2357</v>
      </c>
      <c r="F62" s="5" t="n">
        <f aca="false">VLOOKUP(D62,Lookup!$A$2:$B$4,2,FALSE())</f>
        <v>0.1</v>
      </c>
      <c r="G62" s="2" t="n">
        <f aca="false">ROUND(E62*F62,2)</f>
        <v>235.7</v>
      </c>
      <c r="H62" s="2" t="n">
        <f aca="false">E62+G62</f>
        <v>2592.7</v>
      </c>
      <c r="I62" s="3" t="s">
        <v>22</v>
      </c>
      <c r="J62" s="0" t="str">
        <f aca="false">_xlfn.XLOOKUP(C62,Departments!$A$2:$A$6,Departments!$B$2:$B$6,"Unknown")</f>
        <v>Finance</v>
      </c>
    </row>
    <row r="63" customFormat="false" ht="15" hidden="false" customHeight="false" outlineLevel="0" collapsed="false">
      <c r="A63" s="0" t="s">
        <v>90</v>
      </c>
      <c r="B63" s="4" t="n">
        <v>45720</v>
      </c>
      <c r="C63" s="0" t="s">
        <v>24</v>
      </c>
      <c r="D63" s="3" t="s">
        <v>25</v>
      </c>
      <c r="E63" s="2" t="n">
        <v>2394</v>
      </c>
      <c r="F63" s="5" t="n">
        <f aca="false">VLOOKUP(D63,Lookup!$A$2:$B$4,2,FALSE())</f>
        <v>0.15</v>
      </c>
      <c r="G63" s="2" t="n">
        <f aca="false">ROUND(E63*F63,2)</f>
        <v>359.1</v>
      </c>
      <c r="H63" s="2" t="n">
        <f aca="false">E63+G63</f>
        <v>2753.1</v>
      </c>
      <c r="I63" s="3" t="s">
        <v>22</v>
      </c>
      <c r="J63" s="0" t="str">
        <f aca="false">_xlfn.XLOOKUP(C63,Departments!$A$2:$A$6,Departments!$B$2:$B$6,"Unknown")</f>
        <v>Quality</v>
      </c>
    </row>
    <row r="64" customFormat="false" ht="15" hidden="false" customHeight="false" outlineLevel="0" collapsed="false">
      <c r="A64" s="0" t="s">
        <v>91</v>
      </c>
      <c r="B64" s="4" t="n">
        <v>45721</v>
      </c>
      <c r="C64" s="0" t="s">
        <v>27</v>
      </c>
      <c r="D64" s="3" t="s">
        <v>28</v>
      </c>
      <c r="E64" s="2" t="n">
        <v>2431</v>
      </c>
      <c r="F64" s="5" t="n">
        <f aca="false">VLOOKUP(D64,Lookup!$A$2:$B$4,2,FALSE())</f>
        <v>0.05</v>
      </c>
      <c r="G64" s="2" t="n">
        <f aca="false">ROUND(E64*F64,2)</f>
        <v>121.55</v>
      </c>
      <c r="H64" s="2" t="n">
        <f aca="false">E64+G64</f>
        <v>2552.55</v>
      </c>
      <c r="I64" s="3" t="s">
        <v>35</v>
      </c>
      <c r="J64" s="0" t="str">
        <f aca="false">_xlfn.XLOOKUP(C64,Departments!$A$2:$A$6,Departments!$B$2:$B$6,"Unknown")</f>
        <v>Human Resources</v>
      </c>
    </row>
    <row r="65" customFormat="false" ht="15" hidden="false" customHeight="false" outlineLevel="0" collapsed="false">
      <c r="A65" s="0" t="s">
        <v>92</v>
      </c>
      <c r="B65" s="4" t="n">
        <v>45722</v>
      </c>
      <c r="C65" s="0" t="s">
        <v>30</v>
      </c>
      <c r="D65" s="3" t="s">
        <v>21</v>
      </c>
      <c r="E65" s="2" t="n">
        <v>2468</v>
      </c>
      <c r="F65" s="5" t="n">
        <f aca="false">VLOOKUP(D65,Lookup!$A$2:$B$4,2,FALSE())</f>
        <v>0.1</v>
      </c>
      <c r="G65" s="2" t="n">
        <f aca="false">ROUND(E65*F65,2)</f>
        <v>246.8</v>
      </c>
      <c r="H65" s="2" t="n">
        <f aca="false">E65+G65</f>
        <v>2714.8</v>
      </c>
      <c r="I65" s="3" t="s">
        <v>22</v>
      </c>
      <c r="J65" s="0" t="str">
        <f aca="false">_xlfn.XLOOKUP(C65,Departments!$A$2:$A$6,Departments!$B$2:$B$6,"Unknown")</f>
        <v>Technology</v>
      </c>
    </row>
    <row r="66" customFormat="false" ht="15" hidden="false" customHeight="false" outlineLevel="0" collapsed="false">
      <c r="A66" s="0" t="s">
        <v>93</v>
      </c>
      <c r="B66" s="4" t="n">
        <v>45723</v>
      </c>
      <c r="C66" s="0" t="s">
        <v>32</v>
      </c>
      <c r="D66" s="3" t="s">
        <v>25</v>
      </c>
      <c r="E66" s="2" t="n">
        <v>2505</v>
      </c>
      <c r="F66" s="5" t="n">
        <f aca="false">VLOOKUP(D66,Lookup!$A$2:$B$4,2,FALSE())</f>
        <v>0.15</v>
      </c>
      <c r="G66" s="2" t="n">
        <f aca="false">ROUND(E66*F66,2)</f>
        <v>375.75</v>
      </c>
      <c r="H66" s="2" t="n">
        <f aca="false">E66+G66</f>
        <v>2880.75</v>
      </c>
      <c r="I66" s="3" t="s">
        <v>22</v>
      </c>
      <c r="J66" s="0" t="str">
        <f aca="false">_xlfn.XLOOKUP(C66,Departments!$A$2:$A$6,Departments!$B$2:$B$6,"Unknown")</f>
        <v>Operations</v>
      </c>
    </row>
    <row r="67" customFormat="false" ht="15" hidden="false" customHeight="false" outlineLevel="0" collapsed="false">
      <c r="A67" s="0" t="s">
        <v>94</v>
      </c>
      <c r="B67" s="4" t="n">
        <v>45724</v>
      </c>
      <c r="C67" s="0" t="s">
        <v>20</v>
      </c>
      <c r="D67" s="3" t="s">
        <v>28</v>
      </c>
      <c r="E67" s="2" t="n">
        <v>2542</v>
      </c>
      <c r="F67" s="5" t="n">
        <f aca="false">VLOOKUP(D67,Lookup!$A$2:$B$4,2,FALSE())</f>
        <v>0.05</v>
      </c>
      <c r="G67" s="2" t="n">
        <f aca="false">ROUND(E67*F67,2)</f>
        <v>127.1</v>
      </c>
      <c r="H67" s="2" t="n">
        <f aca="false">E67+G67</f>
        <v>2669.1</v>
      </c>
      <c r="I67" s="3" t="s">
        <v>22</v>
      </c>
      <c r="J67" s="0" t="str">
        <f aca="false">_xlfn.XLOOKUP(C67,Departments!$A$2:$A$6,Departments!$B$2:$B$6,"Unknown")</f>
        <v>Finance</v>
      </c>
    </row>
    <row r="68" customFormat="false" ht="15" hidden="false" customHeight="false" outlineLevel="0" collapsed="false">
      <c r="A68" s="0" t="s">
        <v>95</v>
      </c>
      <c r="B68" s="4" t="n">
        <v>45725</v>
      </c>
      <c r="C68" s="0" t="s">
        <v>24</v>
      </c>
      <c r="D68" s="3" t="s">
        <v>21</v>
      </c>
      <c r="E68" s="2" t="n">
        <v>2579</v>
      </c>
      <c r="F68" s="5" t="n">
        <f aca="false">VLOOKUP(D68,Lookup!$A$2:$B$4,2,FALSE())</f>
        <v>0.1</v>
      </c>
      <c r="G68" s="2" t="n">
        <f aca="false">ROUND(E68*F68,2)</f>
        <v>257.9</v>
      </c>
      <c r="H68" s="2" t="n">
        <f aca="false">E68+G68</f>
        <v>2836.9</v>
      </c>
      <c r="I68" s="3" t="s">
        <v>22</v>
      </c>
      <c r="J68" s="0" t="str">
        <f aca="false">_xlfn.XLOOKUP(C68,Departments!$A$2:$A$6,Departments!$B$2:$B$6,"Unknown")</f>
        <v>Quality</v>
      </c>
    </row>
    <row r="69" customFormat="false" ht="15" hidden="false" customHeight="false" outlineLevel="0" collapsed="false">
      <c r="A69" s="0" t="s">
        <v>96</v>
      </c>
      <c r="B69" s="4" t="n">
        <v>45726</v>
      </c>
      <c r="C69" s="0" t="s">
        <v>27</v>
      </c>
      <c r="D69" s="3" t="s">
        <v>25</v>
      </c>
      <c r="E69" s="2" t="n">
        <v>2616</v>
      </c>
      <c r="F69" s="5" t="n">
        <f aca="false">VLOOKUP(D69,Lookup!$A$2:$B$4,2,FALSE())</f>
        <v>0.15</v>
      </c>
      <c r="G69" s="2" t="n">
        <f aca="false">ROUND(E69*F69,2)</f>
        <v>392.4</v>
      </c>
      <c r="H69" s="2" t="n">
        <f aca="false">E69+G69</f>
        <v>3008.4</v>
      </c>
      <c r="I69" s="3" t="s">
        <v>22</v>
      </c>
      <c r="J69" s="0" t="str">
        <f aca="false">_xlfn.XLOOKUP(C69,Departments!$A$2:$A$6,Departments!$B$2:$B$6,"Unknown")</f>
        <v>Human Resources</v>
      </c>
    </row>
    <row r="70" customFormat="false" ht="15" hidden="false" customHeight="false" outlineLevel="0" collapsed="false">
      <c r="A70" s="0" t="s">
        <v>97</v>
      </c>
      <c r="B70" s="4" t="n">
        <v>45727</v>
      </c>
      <c r="C70" s="0" t="s">
        <v>30</v>
      </c>
      <c r="D70" s="3" t="s">
        <v>28</v>
      </c>
      <c r="E70" s="2" t="n">
        <v>2653</v>
      </c>
      <c r="F70" s="5" t="n">
        <f aca="false">VLOOKUP(D70,Lookup!$A$2:$B$4,2,FALSE())</f>
        <v>0.05</v>
      </c>
      <c r="G70" s="2" t="n">
        <f aca="false">ROUND(E70*F70,2)</f>
        <v>132.65</v>
      </c>
      <c r="H70" s="2" t="n">
        <f aca="false">E70+G70</f>
        <v>2785.65</v>
      </c>
      <c r="I70" s="3" t="s">
        <v>22</v>
      </c>
      <c r="J70" s="0" t="str">
        <f aca="false">_xlfn.XLOOKUP(C70,Departments!$A$2:$A$6,Departments!$B$2:$B$6,"Unknown")</f>
        <v>Technology</v>
      </c>
    </row>
    <row r="71" customFormat="false" ht="15" hidden="false" customHeight="false" outlineLevel="0" collapsed="false">
      <c r="A71" s="0" t="s">
        <v>98</v>
      </c>
      <c r="B71" s="4" t="n">
        <v>45728</v>
      </c>
      <c r="C71" s="0" t="s">
        <v>32</v>
      </c>
      <c r="D71" s="3" t="s">
        <v>21</v>
      </c>
      <c r="E71" s="2" t="n">
        <v>2690</v>
      </c>
      <c r="F71" s="5" t="n">
        <f aca="false">VLOOKUP(D71,Lookup!$A$2:$B$4,2,FALSE())</f>
        <v>0.1</v>
      </c>
      <c r="G71" s="2" t="n">
        <f aca="false">ROUND(E71*F71,2)</f>
        <v>269</v>
      </c>
      <c r="H71" s="2" t="n">
        <f aca="false">E71+G71</f>
        <v>2959</v>
      </c>
      <c r="I71" s="3" t="s">
        <v>35</v>
      </c>
      <c r="J71" s="0" t="str">
        <f aca="false">_xlfn.XLOOKUP(C71,Departments!$A$2:$A$6,Departments!$B$2:$B$6,"Unknown")</f>
        <v>Operations</v>
      </c>
    </row>
    <row r="72" customFormat="false" ht="15" hidden="false" customHeight="false" outlineLevel="0" collapsed="false">
      <c r="A72" s="0" t="s">
        <v>99</v>
      </c>
      <c r="B72" s="4" t="n">
        <v>45729</v>
      </c>
      <c r="C72" s="0" t="s">
        <v>20</v>
      </c>
      <c r="D72" s="3" t="s">
        <v>25</v>
      </c>
      <c r="E72" s="2" t="n">
        <v>2727</v>
      </c>
      <c r="F72" s="5" t="n">
        <f aca="false">VLOOKUP(D72,Lookup!$A$2:$B$4,2,FALSE())</f>
        <v>0.15</v>
      </c>
      <c r="G72" s="2" t="n">
        <f aca="false">ROUND(E72*F72,2)</f>
        <v>409.05</v>
      </c>
      <c r="H72" s="2" t="n">
        <f aca="false">E72+G72</f>
        <v>3136.05</v>
      </c>
      <c r="I72" s="3" t="s">
        <v>22</v>
      </c>
      <c r="J72" s="0" t="str">
        <f aca="false">_xlfn.XLOOKUP(C72,Departments!$A$2:$A$6,Departments!$B$2:$B$6,"Unknown")</f>
        <v>Finance</v>
      </c>
    </row>
    <row r="73" customFormat="false" ht="15" hidden="false" customHeight="false" outlineLevel="0" collapsed="false">
      <c r="A73" s="0" t="s">
        <v>100</v>
      </c>
      <c r="B73" s="4" t="n">
        <v>45730</v>
      </c>
      <c r="C73" s="0" t="s">
        <v>24</v>
      </c>
      <c r="D73" s="3" t="s">
        <v>28</v>
      </c>
      <c r="E73" s="2" t="n">
        <v>2764</v>
      </c>
      <c r="F73" s="5" t="n">
        <f aca="false">VLOOKUP(D73,Lookup!$A$2:$B$4,2,FALSE())</f>
        <v>0.05</v>
      </c>
      <c r="G73" s="2" t="n">
        <f aca="false">ROUND(E73*F73,2)</f>
        <v>138.2</v>
      </c>
      <c r="H73" s="2" t="n">
        <f aca="false">E73+G73</f>
        <v>2902.2</v>
      </c>
      <c r="I73" s="3" t="s">
        <v>22</v>
      </c>
      <c r="J73" s="0" t="str">
        <f aca="false">_xlfn.XLOOKUP(C73,Departments!$A$2:$A$6,Departments!$B$2:$B$6,"Unknown")</f>
        <v>Quality</v>
      </c>
    </row>
    <row r="74" customFormat="false" ht="15" hidden="false" customHeight="false" outlineLevel="0" collapsed="false">
      <c r="A74" s="0" t="s">
        <v>101</v>
      </c>
      <c r="B74" s="4" t="n">
        <v>45731</v>
      </c>
      <c r="C74" s="0" t="s">
        <v>27</v>
      </c>
      <c r="D74" s="3" t="s">
        <v>21</v>
      </c>
      <c r="E74" s="2" t="n">
        <v>2801</v>
      </c>
      <c r="F74" s="5" t="n">
        <f aca="false">VLOOKUP(D74,Lookup!$A$2:$B$4,2,FALSE())</f>
        <v>0.1</v>
      </c>
      <c r="G74" s="2" t="n">
        <f aca="false">ROUND(E74*F74,2)</f>
        <v>280.1</v>
      </c>
      <c r="H74" s="2" t="n">
        <f aca="false">E74+G74</f>
        <v>3081.1</v>
      </c>
      <c r="I74" s="3" t="s">
        <v>22</v>
      </c>
      <c r="J74" s="0" t="str">
        <f aca="false">_xlfn.XLOOKUP(C74,Departments!$A$2:$A$6,Departments!$B$2:$B$6,"Unknown")</f>
        <v>Human Resources</v>
      </c>
    </row>
    <row r="75" customFormat="false" ht="15" hidden="false" customHeight="false" outlineLevel="0" collapsed="false">
      <c r="A75" s="0" t="s">
        <v>102</v>
      </c>
      <c r="B75" s="4" t="n">
        <v>45732</v>
      </c>
      <c r="C75" s="0" t="s">
        <v>30</v>
      </c>
      <c r="D75" s="3" t="s">
        <v>25</v>
      </c>
      <c r="E75" s="2" t="n">
        <v>2838</v>
      </c>
      <c r="F75" s="5" t="n">
        <f aca="false">VLOOKUP(D75,Lookup!$A$2:$B$4,2,FALSE())</f>
        <v>0.15</v>
      </c>
      <c r="G75" s="2" t="n">
        <f aca="false">ROUND(E75*F75,2)</f>
        <v>425.7</v>
      </c>
      <c r="H75" s="2" t="n">
        <f aca="false">E75+G75</f>
        <v>3263.7</v>
      </c>
      <c r="I75" s="3" t="s">
        <v>22</v>
      </c>
      <c r="J75" s="0" t="str">
        <f aca="false">_xlfn.XLOOKUP(C75,Departments!$A$2:$A$6,Departments!$B$2:$B$6,"Unknown")</f>
        <v>Technology</v>
      </c>
    </row>
    <row r="76" customFormat="false" ht="15" hidden="false" customHeight="false" outlineLevel="0" collapsed="false">
      <c r="A76" s="0" t="s">
        <v>103</v>
      </c>
      <c r="B76" s="4" t="n">
        <v>45733</v>
      </c>
      <c r="C76" s="0" t="s">
        <v>32</v>
      </c>
      <c r="D76" s="3" t="s">
        <v>28</v>
      </c>
      <c r="E76" s="2" t="n">
        <v>2875</v>
      </c>
      <c r="F76" s="5" t="n">
        <f aca="false">VLOOKUP(D76,Lookup!$A$2:$B$4,2,FALSE())</f>
        <v>0.05</v>
      </c>
      <c r="G76" s="2" t="n">
        <f aca="false">ROUND(E76*F76,2)</f>
        <v>143.75</v>
      </c>
      <c r="H76" s="2" t="n">
        <f aca="false">E76+G76</f>
        <v>3018.75</v>
      </c>
      <c r="I76" s="3" t="s">
        <v>22</v>
      </c>
      <c r="J76" s="0" t="str">
        <f aca="false">_xlfn.XLOOKUP(C76,Departments!$A$2:$A$6,Departments!$B$2:$B$6,"Unknown")</f>
        <v>Operations</v>
      </c>
    </row>
    <row r="77" customFormat="false" ht="15" hidden="false" customHeight="false" outlineLevel="0" collapsed="false">
      <c r="A77" s="0" t="s">
        <v>104</v>
      </c>
      <c r="B77" s="4" t="n">
        <v>45734</v>
      </c>
      <c r="C77" s="0" t="s">
        <v>20</v>
      </c>
      <c r="D77" s="3" t="s">
        <v>21</v>
      </c>
      <c r="E77" s="2" t="n">
        <v>2912</v>
      </c>
      <c r="F77" s="5" t="n">
        <f aca="false">VLOOKUP(D77,Lookup!$A$2:$B$4,2,FALSE())</f>
        <v>0.1</v>
      </c>
      <c r="G77" s="2" t="n">
        <f aca="false">ROUND(E77*F77,2)</f>
        <v>291.2</v>
      </c>
      <c r="H77" s="2" t="n">
        <f aca="false">E77+G77</f>
        <v>3203.2</v>
      </c>
      <c r="I77" s="3" t="s">
        <v>22</v>
      </c>
      <c r="J77" s="0" t="str">
        <f aca="false">_xlfn.XLOOKUP(C77,Departments!$A$2:$A$6,Departments!$B$2:$B$6,"Unknown")</f>
        <v>Finance</v>
      </c>
    </row>
    <row r="78" customFormat="false" ht="15" hidden="false" customHeight="false" outlineLevel="0" collapsed="false">
      <c r="A78" s="0" t="s">
        <v>105</v>
      </c>
      <c r="B78" s="4" t="n">
        <v>45735</v>
      </c>
      <c r="C78" s="0" t="s">
        <v>24</v>
      </c>
      <c r="D78" s="3" t="s">
        <v>25</v>
      </c>
      <c r="E78" s="2" t="n">
        <v>2949</v>
      </c>
      <c r="F78" s="5" t="n">
        <f aca="false">VLOOKUP(D78,Lookup!$A$2:$B$4,2,FALSE())</f>
        <v>0.15</v>
      </c>
      <c r="G78" s="2" t="n">
        <f aca="false">ROUND(E78*F78,2)</f>
        <v>442.35</v>
      </c>
      <c r="H78" s="2" t="n">
        <f aca="false">E78+G78</f>
        <v>3391.35</v>
      </c>
      <c r="I78" s="3" t="s">
        <v>35</v>
      </c>
      <c r="J78" s="0" t="str">
        <f aca="false">_xlfn.XLOOKUP(C78,Departments!$A$2:$A$6,Departments!$B$2:$B$6,"Unknown")</f>
        <v>Quality</v>
      </c>
    </row>
    <row r="79" customFormat="false" ht="15" hidden="false" customHeight="false" outlineLevel="0" collapsed="false">
      <c r="A79" s="0" t="s">
        <v>106</v>
      </c>
      <c r="B79" s="4" t="n">
        <v>45736</v>
      </c>
      <c r="C79" s="0" t="s">
        <v>27</v>
      </c>
      <c r="D79" s="3" t="s">
        <v>28</v>
      </c>
      <c r="E79" s="2" t="n">
        <v>2986</v>
      </c>
      <c r="F79" s="5" t="n">
        <f aca="false">VLOOKUP(D79,Lookup!$A$2:$B$4,2,FALSE())</f>
        <v>0.05</v>
      </c>
      <c r="G79" s="2" t="n">
        <f aca="false">ROUND(E79*F79,2)</f>
        <v>149.3</v>
      </c>
      <c r="H79" s="2" t="n">
        <f aca="false">E79+G79</f>
        <v>3135.3</v>
      </c>
      <c r="I79" s="3" t="s">
        <v>22</v>
      </c>
      <c r="J79" s="0" t="str">
        <f aca="false">_xlfn.XLOOKUP(C79,Departments!$A$2:$A$6,Departments!$B$2:$B$6,"Unknown")</f>
        <v>Human Resources</v>
      </c>
    </row>
    <row r="80" customFormat="false" ht="15" hidden="false" customHeight="false" outlineLevel="0" collapsed="false">
      <c r="A80" s="0" t="s">
        <v>107</v>
      </c>
      <c r="B80" s="4" t="n">
        <v>45737</v>
      </c>
      <c r="C80" s="0" t="s">
        <v>30</v>
      </c>
      <c r="D80" s="3" t="s">
        <v>21</v>
      </c>
      <c r="E80" s="2" t="n">
        <v>3023</v>
      </c>
      <c r="F80" s="5" t="n">
        <f aca="false">VLOOKUP(D80,Lookup!$A$2:$B$4,2,FALSE())</f>
        <v>0.1</v>
      </c>
      <c r="G80" s="2" t="n">
        <f aca="false">ROUND(E80*F80,2)</f>
        <v>302.3</v>
      </c>
      <c r="H80" s="2" t="n">
        <f aca="false">E80+G80</f>
        <v>3325.3</v>
      </c>
      <c r="I80" s="3" t="s">
        <v>22</v>
      </c>
      <c r="J80" s="0" t="str">
        <f aca="false">_xlfn.XLOOKUP(C80,Departments!$A$2:$A$6,Departments!$B$2:$B$6,"Unknown")</f>
        <v>Technology</v>
      </c>
    </row>
    <row r="81" customFormat="false" ht="15" hidden="false" customHeight="false" outlineLevel="0" collapsed="false">
      <c r="A81" s="0" t="s">
        <v>108</v>
      </c>
      <c r="B81" s="4" t="n">
        <v>45738</v>
      </c>
      <c r="C81" s="0" t="s">
        <v>32</v>
      </c>
      <c r="D81" s="3" t="s">
        <v>25</v>
      </c>
      <c r="E81" s="2" t="n">
        <v>3060</v>
      </c>
      <c r="F81" s="5" t="n">
        <f aca="false">VLOOKUP(D81,Lookup!$A$2:$B$4,2,FALSE())</f>
        <v>0.15</v>
      </c>
      <c r="G81" s="2" t="n">
        <f aca="false">ROUND(E81*F81,2)</f>
        <v>459</v>
      </c>
      <c r="H81" s="2" t="n">
        <f aca="false">E81+G81</f>
        <v>3519</v>
      </c>
      <c r="I81" s="3" t="s">
        <v>22</v>
      </c>
      <c r="J81" s="0" t="str">
        <f aca="false">_xlfn.XLOOKUP(C81,Departments!$A$2:$A$6,Departments!$B$2:$B$6,"Unknown")</f>
        <v>Operations</v>
      </c>
    </row>
    <row r="82" customFormat="false" ht="15" hidden="false" customHeight="false" outlineLevel="0" collapsed="false">
      <c r="A82" s="0" t="s">
        <v>109</v>
      </c>
      <c r="B82" s="4" t="n">
        <v>45739</v>
      </c>
      <c r="C82" s="0" t="s">
        <v>20</v>
      </c>
      <c r="D82" s="3" t="s">
        <v>28</v>
      </c>
      <c r="E82" s="2" t="n">
        <v>3097</v>
      </c>
      <c r="F82" s="5" t="n">
        <f aca="false">VLOOKUP(D82,Lookup!$A$2:$B$4,2,FALSE())</f>
        <v>0.05</v>
      </c>
      <c r="G82" s="2" t="n">
        <f aca="false">ROUND(E82*F82,2)</f>
        <v>154.85</v>
      </c>
      <c r="H82" s="2" t="n">
        <f aca="false">E82+G82</f>
        <v>3251.85</v>
      </c>
      <c r="I82" s="3" t="s">
        <v>22</v>
      </c>
      <c r="J82" s="0" t="str">
        <f aca="false">_xlfn.XLOOKUP(C82,Departments!$A$2:$A$6,Departments!$B$2:$B$6,"Unknown")</f>
        <v>Finance</v>
      </c>
    </row>
    <row r="83" customFormat="false" ht="15" hidden="false" customHeight="false" outlineLevel="0" collapsed="false">
      <c r="A83" s="0" t="s">
        <v>110</v>
      </c>
      <c r="B83" s="4" t="n">
        <v>45740</v>
      </c>
      <c r="C83" s="0" t="s">
        <v>24</v>
      </c>
      <c r="D83" s="3" t="s">
        <v>21</v>
      </c>
      <c r="E83" s="2" t="n">
        <v>3134</v>
      </c>
      <c r="F83" s="5" t="n">
        <f aca="false">VLOOKUP(D83,Lookup!$A$2:$B$4,2,FALSE())</f>
        <v>0.1</v>
      </c>
      <c r="G83" s="2" t="n">
        <f aca="false">ROUND(E83*F83,2)</f>
        <v>313.4</v>
      </c>
      <c r="H83" s="2" t="n">
        <f aca="false">E83+G83</f>
        <v>3447.4</v>
      </c>
      <c r="I83" s="3" t="s">
        <v>22</v>
      </c>
      <c r="J83" s="0" t="str">
        <f aca="false">_xlfn.XLOOKUP(C83,Departments!$A$2:$A$6,Departments!$B$2:$B$6,"Unknown")</f>
        <v>Quality</v>
      </c>
    </row>
    <row r="84" customFormat="false" ht="15" hidden="false" customHeight="false" outlineLevel="0" collapsed="false">
      <c r="A84" s="0" t="s">
        <v>111</v>
      </c>
      <c r="B84" s="4" t="n">
        <v>45741</v>
      </c>
      <c r="C84" s="0" t="s">
        <v>27</v>
      </c>
      <c r="D84" s="3" t="s">
        <v>25</v>
      </c>
      <c r="E84" s="2" t="n">
        <v>3171</v>
      </c>
      <c r="F84" s="5" t="n">
        <f aca="false">VLOOKUP(D84,Lookup!$A$2:$B$4,2,FALSE())</f>
        <v>0.15</v>
      </c>
      <c r="G84" s="2" t="n">
        <f aca="false">ROUND(E84*F84,2)</f>
        <v>475.65</v>
      </c>
      <c r="H84" s="2" t="n">
        <f aca="false">E84+G84</f>
        <v>3646.65</v>
      </c>
      <c r="I84" s="3" t="s">
        <v>22</v>
      </c>
      <c r="J84" s="0" t="str">
        <f aca="false">_xlfn.XLOOKUP(C84,Departments!$A$2:$A$6,Departments!$B$2:$B$6,"Unknown")</f>
        <v>Human Resources</v>
      </c>
    </row>
    <row r="85" customFormat="false" ht="15" hidden="false" customHeight="false" outlineLevel="0" collapsed="false">
      <c r="A85" s="0" t="s">
        <v>112</v>
      </c>
      <c r="B85" s="4" t="n">
        <v>45742</v>
      </c>
      <c r="C85" s="0" t="s">
        <v>30</v>
      </c>
      <c r="D85" s="3" t="s">
        <v>28</v>
      </c>
      <c r="E85" s="2" t="n">
        <v>3208</v>
      </c>
      <c r="F85" s="5" t="n">
        <f aca="false">VLOOKUP(D85,Lookup!$A$2:$B$4,2,FALSE())</f>
        <v>0.05</v>
      </c>
      <c r="G85" s="2" t="n">
        <f aca="false">ROUND(E85*F85,2)</f>
        <v>160.4</v>
      </c>
      <c r="H85" s="2" t="n">
        <f aca="false">E85+G85</f>
        <v>3368.4</v>
      </c>
      <c r="I85" s="3" t="s">
        <v>35</v>
      </c>
      <c r="J85" s="0" t="str">
        <f aca="false">_xlfn.XLOOKUP(C85,Departments!$A$2:$A$6,Departments!$B$2:$B$6,"Unknown")</f>
        <v>Technology</v>
      </c>
    </row>
    <row r="86" customFormat="false" ht="15" hidden="false" customHeight="false" outlineLevel="0" collapsed="false">
      <c r="A86" s="0" t="s">
        <v>113</v>
      </c>
      <c r="B86" s="4" t="n">
        <v>45743</v>
      </c>
      <c r="C86" s="0" t="s">
        <v>32</v>
      </c>
      <c r="D86" s="3" t="s">
        <v>21</v>
      </c>
      <c r="E86" s="2" t="n">
        <v>3245</v>
      </c>
      <c r="F86" s="5" t="n">
        <f aca="false">VLOOKUP(D86,Lookup!$A$2:$B$4,2,FALSE())</f>
        <v>0.1</v>
      </c>
      <c r="G86" s="2" t="n">
        <f aca="false">ROUND(E86*F86,2)</f>
        <v>324.5</v>
      </c>
      <c r="H86" s="2" t="n">
        <f aca="false">E86+G86</f>
        <v>3569.5</v>
      </c>
      <c r="I86" s="3" t="s">
        <v>22</v>
      </c>
      <c r="J86" s="0" t="str">
        <f aca="false">_xlfn.XLOOKUP(C86,Departments!$A$2:$A$6,Departments!$B$2:$B$6,"Unknown")</f>
        <v>Operations</v>
      </c>
    </row>
    <row r="87" customFormat="false" ht="15" hidden="false" customHeight="false" outlineLevel="0" collapsed="false">
      <c r="A87" s="0" t="s">
        <v>114</v>
      </c>
      <c r="B87" s="4" t="n">
        <v>45744</v>
      </c>
      <c r="C87" s="0" t="s">
        <v>20</v>
      </c>
      <c r="D87" s="3" t="s">
        <v>25</v>
      </c>
      <c r="E87" s="2" t="n">
        <v>3282</v>
      </c>
      <c r="F87" s="5" t="n">
        <f aca="false">VLOOKUP(D87,Lookup!$A$2:$B$4,2,FALSE())</f>
        <v>0.15</v>
      </c>
      <c r="G87" s="2" t="n">
        <f aca="false">ROUND(E87*F87,2)</f>
        <v>492.3</v>
      </c>
      <c r="H87" s="2" t="n">
        <f aca="false">E87+G87</f>
        <v>3774.3</v>
      </c>
      <c r="I87" s="3" t="s">
        <v>22</v>
      </c>
      <c r="J87" s="0" t="str">
        <f aca="false">_xlfn.XLOOKUP(C87,Departments!$A$2:$A$6,Departments!$B$2:$B$6,"Unknown")</f>
        <v>Finance</v>
      </c>
    </row>
    <row r="88" customFormat="false" ht="15" hidden="false" customHeight="false" outlineLevel="0" collapsed="false">
      <c r="A88" s="0" t="s">
        <v>115</v>
      </c>
      <c r="B88" s="4" t="n">
        <v>45745</v>
      </c>
      <c r="C88" s="0" t="s">
        <v>24</v>
      </c>
      <c r="D88" s="3" t="s">
        <v>28</v>
      </c>
      <c r="E88" s="2" t="n">
        <v>3319</v>
      </c>
      <c r="F88" s="5" t="n">
        <f aca="false">VLOOKUP(D88,Lookup!$A$2:$B$4,2,FALSE())</f>
        <v>0.05</v>
      </c>
      <c r="G88" s="2" t="n">
        <f aca="false">ROUND(E88*F88,2)</f>
        <v>165.95</v>
      </c>
      <c r="H88" s="2" t="n">
        <f aca="false">E88+G88</f>
        <v>3484.95</v>
      </c>
      <c r="I88" s="3" t="s">
        <v>22</v>
      </c>
      <c r="J88" s="0" t="str">
        <f aca="false">_xlfn.XLOOKUP(C88,Departments!$A$2:$A$6,Departments!$B$2:$B$6,"Unknown")</f>
        <v>Quality</v>
      </c>
    </row>
    <row r="89" customFormat="false" ht="15" hidden="false" customHeight="false" outlineLevel="0" collapsed="false">
      <c r="A89" s="0" t="s">
        <v>116</v>
      </c>
      <c r="B89" s="4" t="n">
        <v>45746</v>
      </c>
      <c r="C89" s="0" t="s">
        <v>27</v>
      </c>
      <c r="D89" s="3" t="s">
        <v>21</v>
      </c>
      <c r="E89" s="2" t="n">
        <v>3356</v>
      </c>
      <c r="F89" s="5" t="n">
        <f aca="false">VLOOKUP(D89,Lookup!$A$2:$B$4,2,FALSE())</f>
        <v>0.1</v>
      </c>
      <c r="G89" s="2" t="n">
        <f aca="false">ROUND(E89*F89,2)</f>
        <v>335.6</v>
      </c>
      <c r="H89" s="2" t="n">
        <f aca="false">E89+G89</f>
        <v>3691.6</v>
      </c>
      <c r="I89" s="3" t="s">
        <v>22</v>
      </c>
      <c r="J89" s="0" t="str">
        <f aca="false">_xlfn.XLOOKUP(C89,Departments!$A$2:$A$6,Departments!$B$2:$B$6,"Unknown")</f>
        <v>Human Resources</v>
      </c>
    </row>
    <row r="90" customFormat="false" ht="15" hidden="false" customHeight="false" outlineLevel="0" collapsed="false">
      <c r="A90" s="0" t="s">
        <v>117</v>
      </c>
      <c r="B90" s="4" t="n">
        <v>45747</v>
      </c>
      <c r="C90" s="0" t="s">
        <v>30</v>
      </c>
      <c r="D90" s="3" t="s">
        <v>25</v>
      </c>
      <c r="E90" s="2" t="n">
        <v>3393</v>
      </c>
      <c r="F90" s="5" t="n">
        <f aca="false">VLOOKUP(D90,Lookup!$A$2:$B$4,2,FALSE())</f>
        <v>0.15</v>
      </c>
      <c r="G90" s="2" t="n">
        <f aca="false">ROUND(E90*F90,2)</f>
        <v>508.95</v>
      </c>
      <c r="H90" s="2" t="n">
        <f aca="false">E90+G90</f>
        <v>3901.95</v>
      </c>
      <c r="I90" s="3" t="s">
        <v>22</v>
      </c>
      <c r="J90" s="0" t="str">
        <f aca="false">_xlfn.XLOOKUP(C90,Departments!$A$2:$A$6,Departments!$B$2:$B$6,"Unknown")</f>
        <v>Technology</v>
      </c>
    </row>
    <row r="91" customFormat="false" ht="15" hidden="false" customHeight="false" outlineLevel="0" collapsed="false">
      <c r="A91" s="0" t="s">
        <v>118</v>
      </c>
      <c r="B91" s="4" t="n">
        <v>45748</v>
      </c>
      <c r="C91" s="0" t="s">
        <v>32</v>
      </c>
      <c r="D91" s="3" t="s">
        <v>28</v>
      </c>
      <c r="E91" s="2" t="n">
        <v>3430</v>
      </c>
      <c r="F91" s="5" t="n">
        <f aca="false">VLOOKUP(D91,Lookup!$A$2:$B$4,2,FALSE())</f>
        <v>0.05</v>
      </c>
      <c r="G91" s="2" t="n">
        <f aca="false">ROUND(E91*F91,2)</f>
        <v>171.5</v>
      </c>
      <c r="H91" s="2" t="n">
        <f aca="false">E91+G91</f>
        <v>3601.5</v>
      </c>
      <c r="I91" s="3" t="s">
        <v>22</v>
      </c>
      <c r="J91" s="0" t="str">
        <f aca="false">_xlfn.XLOOKUP(C91,Departments!$A$2:$A$6,Departments!$B$2:$B$6,"Unknown")</f>
        <v>Operations</v>
      </c>
    </row>
    <row r="92" customFormat="false" ht="15" hidden="false" customHeight="false" outlineLevel="0" collapsed="false">
      <c r="A92" s="0" t="s">
        <v>119</v>
      </c>
      <c r="B92" s="4" t="n">
        <v>45749</v>
      </c>
      <c r="C92" s="0" t="s">
        <v>20</v>
      </c>
      <c r="D92" s="3" t="s">
        <v>21</v>
      </c>
      <c r="E92" s="2" t="n">
        <v>3467</v>
      </c>
      <c r="F92" s="5" t="n">
        <f aca="false">VLOOKUP(D92,Lookup!$A$2:$B$4,2,FALSE())</f>
        <v>0.1</v>
      </c>
      <c r="G92" s="2" t="n">
        <f aca="false">ROUND(E92*F92,2)</f>
        <v>346.7</v>
      </c>
      <c r="H92" s="2" t="n">
        <f aca="false">E92+G92</f>
        <v>3813.7</v>
      </c>
      <c r="I92" s="3" t="s">
        <v>35</v>
      </c>
      <c r="J92" s="0" t="str">
        <f aca="false">_xlfn.XLOOKUP(C92,Departments!$A$2:$A$6,Departments!$B$2:$B$6,"Unknown")</f>
        <v>Finance</v>
      </c>
    </row>
    <row r="93" customFormat="false" ht="15" hidden="false" customHeight="false" outlineLevel="0" collapsed="false">
      <c r="A93" s="0" t="s">
        <v>120</v>
      </c>
      <c r="B93" s="4" t="n">
        <v>45750</v>
      </c>
      <c r="C93" s="0" t="s">
        <v>24</v>
      </c>
      <c r="D93" s="3" t="s">
        <v>25</v>
      </c>
      <c r="E93" s="2" t="n">
        <v>3504</v>
      </c>
      <c r="F93" s="5" t="n">
        <f aca="false">VLOOKUP(D93,Lookup!$A$2:$B$4,2,FALSE())</f>
        <v>0.15</v>
      </c>
      <c r="G93" s="2" t="n">
        <f aca="false">ROUND(E93*F93,2)</f>
        <v>525.6</v>
      </c>
      <c r="H93" s="2" t="n">
        <f aca="false">E93+G93</f>
        <v>4029.6</v>
      </c>
      <c r="I93" s="3" t="s">
        <v>22</v>
      </c>
      <c r="J93" s="0" t="str">
        <f aca="false">_xlfn.XLOOKUP(C93,Departments!$A$2:$A$6,Departments!$B$2:$B$6,"Unknown")</f>
        <v>Quality</v>
      </c>
    </row>
    <row r="94" customFormat="false" ht="15" hidden="false" customHeight="false" outlineLevel="0" collapsed="false">
      <c r="A94" s="0" t="s">
        <v>121</v>
      </c>
      <c r="B94" s="4" t="n">
        <v>45751</v>
      </c>
      <c r="C94" s="0" t="s">
        <v>27</v>
      </c>
      <c r="D94" s="3" t="s">
        <v>28</v>
      </c>
      <c r="E94" s="2" t="n">
        <v>3541</v>
      </c>
      <c r="F94" s="5" t="n">
        <f aca="false">VLOOKUP(D94,Lookup!$A$2:$B$4,2,FALSE())</f>
        <v>0.05</v>
      </c>
      <c r="G94" s="2" t="n">
        <f aca="false">ROUND(E94*F94,2)</f>
        <v>177.05</v>
      </c>
      <c r="H94" s="2" t="n">
        <f aca="false">E94+G94</f>
        <v>3718.05</v>
      </c>
      <c r="I94" s="3" t="s">
        <v>22</v>
      </c>
      <c r="J94" s="0" t="str">
        <f aca="false">_xlfn.XLOOKUP(C94,Departments!$A$2:$A$6,Departments!$B$2:$B$6,"Unknown")</f>
        <v>Human Resources</v>
      </c>
    </row>
    <row r="95" customFormat="false" ht="15" hidden="false" customHeight="false" outlineLevel="0" collapsed="false">
      <c r="A95" s="0" t="s">
        <v>122</v>
      </c>
      <c r="B95" s="4" t="n">
        <v>45752</v>
      </c>
      <c r="C95" s="0" t="s">
        <v>30</v>
      </c>
      <c r="D95" s="3" t="s">
        <v>21</v>
      </c>
      <c r="E95" s="2" t="n">
        <v>3578</v>
      </c>
      <c r="F95" s="5" t="n">
        <f aca="false">VLOOKUP(D95,Lookup!$A$2:$B$4,2,FALSE())</f>
        <v>0.1</v>
      </c>
      <c r="G95" s="2" t="n">
        <f aca="false">ROUND(E95*F95,2)</f>
        <v>357.8</v>
      </c>
      <c r="H95" s="2" t="n">
        <f aca="false">E95+G95</f>
        <v>3935.8</v>
      </c>
      <c r="I95" s="3" t="s">
        <v>22</v>
      </c>
      <c r="J95" s="0" t="str">
        <f aca="false">_xlfn.XLOOKUP(C95,Departments!$A$2:$A$6,Departments!$B$2:$B$6,"Unknown")</f>
        <v>Technology</v>
      </c>
    </row>
    <row r="96" customFormat="false" ht="15" hidden="false" customHeight="false" outlineLevel="0" collapsed="false">
      <c r="A96" s="0" t="s">
        <v>123</v>
      </c>
      <c r="B96" s="4" t="n">
        <v>45753</v>
      </c>
      <c r="C96" s="0" t="s">
        <v>32</v>
      </c>
      <c r="D96" s="3" t="s">
        <v>25</v>
      </c>
      <c r="E96" s="2" t="n">
        <v>3615</v>
      </c>
      <c r="F96" s="5" t="n">
        <f aca="false">VLOOKUP(D96,Lookup!$A$2:$B$4,2,FALSE())</f>
        <v>0.15</v>
      </c>
      <c r="G96" s="2" t="n">
        <f aca="false">ROUND(E96*F96,2)</f>
        <v>542.25</v>
      </c>
      <c r="H96" s="2" t="n">
        <f aca="false">E96+G96</f>
        <v>4157.25</v>
      </c>
      <c r="I96" s="3" t="s">
        <v>22</v>
      </c>
      <c r="J96" s="0" t="str">
        <f aca="false">_xlfn.XLOOKUP(C96,Departments!$A$2:$A$6,Departments!$B$2:$B$6,"Unknown")</f>
        <v>Operations</v>
      </c>
    </row>
    <row r="97" customFormat="false" ht="15" hidden="false" customHeight="false" outlineLevel="0" collapsed="false">
      <c r="A97" s="0" t="s">
        <v>124</v>
      </c>
      <c r="B97" s="4" t="n">
        <v>45754</v>
      </c>
      <c r="C97" s="0" t="s">
        <v>20</v>
      </c>
      <c r="D97" s="3" t="s">
        <v>28</v>
      </c>
      <c r="E97" s="2" t="n">
        <v>3652</v>
      </c>
      <c r="F97" s="5" t="n">
        <f aca="false">VLOOKUP(D97,Lookup!$A$2:$B$4,2,FALSE())</f>
        <v>0.05</v>
      </c>
      <c r="G97" s="2" t="n">
        <f aca="false">ROUND(E97*F97,2)</f>
        <v>182.6</v>
      </c>
      <c r="H97" s="2" t="n">
        <f aca="false">E97+G97</f>
        <v>3834.6</v>
      </c>
      <c r="I97" s="3" t="s">
        <v>22</v>
      </c>
      <c r="J97" s="0" t="str">
        <f aca="false">_xlfn.XLOOKUP(C97,Departments!$A$2:$A$6,Departments!$B$2:$B$6,"Unknown")</f>
        <v>Finance</v>
      </c>
    </row>
    <row r="98" customFormat="false" ht="15" hidden="false" customHeight="false" outlineLevel="0" collapsed="false">
      <c r="A98" s="0" t="s">
        <v>125</v>
      </c>
      <c r="B98" s="4" t="n">
        <v>45755</v>
      </c>
      <c r="C98" s="0" t="s">
        <v>24</v>
      </c>
      <c r="D98" s="3" t="s">
        <v>21</v>
      </c>
      <c r="E98" s="2" t="n">
        <v>3689</v>
      </c>
      <c r="F98" s="5" t="n">
        <f aca="false">VLOOKUP(D98,Lookup!$A$2:$B$4,2,FALSE())</f>
        <v>0.1</v>
      </c>
      <c r="G98" s="2" t="n">
        <f aca="false">ROUND(E98*F98,2)</f>
        <v>368.9</v>
      </c>
      <c r="H98" s="2" t="n">
        <f aca="false">E98+G98</f>
        <v>4057.9</v>
      </c>
      <c r="I98" s="3" t="s">
        <v>22</v>
      </c>
      <c r="J98" s="0" t="str">
        <f aca="false">_xlfn.XLOOKUP(C98,Departments!$A$2:$A$6,Departments!$B$2:$B$6,"Unknown")</f>
        <v>Quality</v>
      </c>
    </row>
    <row r="99" customFormat="false" ht="15" hidden="false" customHeight="false" outlineLevel="0" collapsed="false">
      <c r="A99" s="0" t="s">
        <v>126</v>
      </c>
      <c r="B99" s="4" t="n">
        <v>45756</v>
      </c>
      <c r="C99" s="0" t="s">
        <v>27</v>
      </c>
      <c r="D99" s="3" t="s">
        <v>25</v>
      </c>
      <c r="E99" s="2" t="n">
        <v>3726</v>
      </c>
      <c r="F99" s="5" t="n">
        <f aca="false">VLOOKUP(D99,Lookup!$A$2:$B$4,2,FALSE())</f>
        <v>0.15</v>
      </c>
      <c r="G99" s="2" t="n">
        <f aca="false">ROUND(E99*F99,2)</f>
        <v>558.9</v>
      </c>
      <c r="H99" s="2" t="n">
        <f aca="false">E99+G99</f>
        <v>4284.9</v>
      </c>
      <c r="I99" s="3" t="s">
        <v>35</v>
      </c>
      <c r="J99" s="0" t="str">
        <f aca="false">_xlfn.XLOOKUP(C99,Departments!$A$2:$A$6,Departments!$B$2:$B$6,"Unknown")</f>
        <v>Human Resources</v>
      </c>
    </row>
    <row r="100" customFormat="false" ht="15" hidden="false" customHeight="false" outlineLevel="0" collapsed="false">
      <c r="A100" s="0" t="s">
        <v>127</v>
      </c>
      <c r="B100" s="4" t="n">
        <v>45757</v>
      </c>
      <c r="C100" s="0" t="s">
        <v>30</v>
      </c>
      <c r="D100" s="3" t="s">
        <v>28</v>
      </c>
      <c r="E100" s="2" t="n">
        <v>3763</v>
      </c>
      <c r="F100" s="5" t="n">
        <f aca="false">VLOOKUP(D100,Lookup!$A$2:$B$4,2,FALSE())</f>
        <v>0.05</v>
      </c>
      <c r="G100" s="2" t="n">
        <f aca="false">ROUND(E100*F100,2)</f>
        <v>188.15</v>
      </c>
      <c r="H100" s="2" t="n">
        <f aca="false">E100+G100</f>
        <v>3951.15</v>
      </c>
      <c r="I100" s="3" t="s">
        <v>22</v>
      </c>
      <c r="J100" s="0" t="str">
        <f aca="false">_xlfn.XLOOKUP(C100,Departments!$A$2:$A$6,Departments!$B$2:$B$6,"Unknown")</f>
        <v>Technology</v>
      </c>
    </row>
    <row r="101" customFormat="false" ht="15" hidden="false" customHeight="false" outlineLevel="0" collapsed="false">
      <c r="A101" s="0" t="s">
        <v>128</v>
      </c>
      <c r="B101" s="4" t="n">
        <v>45758</v>
      </c>
      <c r="C101" s="0" t="s">
        <v>32</v>
      </c>
      <c r="D101" s="3" t="s">
        <v>21</v>
      </c>
      <c r="E101" s="2" t="n">
        <v>3800</v>
      </c>
      <c r="F101" s="5" t="n">
        <f aca="false">VLOOKUP(D101,Lookup!$A$2:$B$4,2,FALSE())</f>
        <v>0.1</v>
      </c>
      <c r="G101" s="2" t="n">
        <f aca="false">ROUND(E101*F101,2)</f>
        <v>380</v>
      </c>
      <c r="H101" s="2" t="n">
        <f aca="false">E101+G101</f>
        <v>4180</v>
      </c>
      <c r="I101" s="3" t="s">
        <v>22</v>
      </c>
      <c r="J101" s="0" t="str">
        <f aca="false">_xlfn.XLOOKUP(C101,Departments!$A$2:$A$6,Departments!$B$2:$B$6,"Unknown")</f>
        <v>Operations</v>
      </c>
    </row>
    <row r="102" customFormat="false" ht="15" hidden="false" customHeight="false" outlineLevel="0" collapsed="false">
      <c r="A102" s="0" t="s">
        <v>129</v>
      </c>
      <c r="B102" s="4" t="n">
        <v>45759</v>
      </c>
      <c r="C102" s="0" t="s">
        <v>20</v>
      </c>
      <c r="D102" s="3" t="s">
        <v>25</v>
      </c>
      <c r="E102" s="2" t="n">
        <v>3837</v>
      </c>
      <c r="F102" s="5" t="n">
        <f aca="false">VLOOKUP(D102,Lookup!$A$2:$B$4,2,FALSE())</f>
        <v>0.15</v>
      </c>
      <c r="G102" s="2" t="n">
        <f aca="false">ROUND(E102*F102,2)</f>
        <v>575.55</v>
      </c>
      <c r="H102" s="2" t="n">
        <f aca="false">E102+G102</f>
        <v>4412.55</v>
      </c>
      <c r="I102" s="3" t="s">
        <v>22</v>
      </c>
      <c r="J102" s="0" t="str">
        <f aca="false">_xlfn.XLOOKUP(C102,Departments!$A$2:$A$6,Departments!$B$2:$B$6,"Unknown")</f>
        <v>Finance</v>
      </c>
    </row>
    <row r="103" customFormat="false" ht="15" hidden="false" customHeight="false" outlineLevel="0" collapsed="false">
      <c r="A103" s="0" t="s">
        <v>130</v>
      </c>
      <c r="B103" s="4" t="n">
        <v>45760</v>
      </c>
      <c r="C103" s="0" t="s">
        <v>24</v>
      </c>
      <c r="D103" s="3" t="s">
        <v>28</v>
      </c>
      <c r="E103" s="2" t="n">
        <v>3874</v>
      </c>
      <c r="F103" s="5" t="n">
        <f aca="false">VLOOKUP(D103,Lookup!$A$2:$B$4,2,FALSE())</f>
        <v>0.05</v>
      </c>
      <c r="G103" s="2" t="n">
        <f aca="false">ROUND(E103*F103,2)</f>
        <v>193.7</v>
      </c>
      <c r="H103" s="2" t="n">
        <f aca="false">E103+G103</f>
        <v>4067.7</v>
      </c>
      <c r="I103" s="3" t="s">
        <v>22</v>
      </c>
      <c r="J103" s="0" t="str">
        <f aca="false">_xlfn.XLOOKUP(C103,Departments!$A$2:$A$6,Departments!$B$2:$B$6,"Unknown")</f>
        <v>Quality</v>
      </c>
    </row>
    <row r="104" customFormat="false" ht="15" hidden="false" customHeight="false" outlineLevel="0" collapsed="false">
      <c r="A104" s="0" t="s">
        <v>131</v>
      </c>
      <c r="B104" s="4" t="n">
        <v>45761</v>
      </c>
      <c r="C104" s="0" t="s">
        <v>27</v>
      </c>
      <c r="D104" s="3" t="s">
        <v>21</v>
      </c>
      <c r="E104" s="2" t="n">
        <v>3911</v>
      </c>
      <c r="F104" s="5" t="n">
        <f aca="false">VLOOKUP(D104,Lookup!$A$2:$B$4,2,FALSE())</f>
        <v>0.1</v>
      </c>
      <c r="G104" s="2" t="n">
        <f aca="false">ROUND(E104*F104,2)</f>
        <v>391.1</v>
      </c>
      <c r="H104" s="2" t="n">
        <f aca="false">E104+G104</f>
        <v>4302.1</v>
      </c>
      <c r="I104" s="3" t="s">
        <v>22</v>
      </c>
      <c r="J104" s="0" t="str">
        <f aca="false">_xlfn.XLOOKUP(C104,Departments!$A$2:$A$6,Departments!$B$2:$B$6,"Unknown")</f>
        <v>Human Resources</v>
      </c>
    </row>
    <row r="105" customFormat="false" ht="15" hidden="false" customHeight="false" outlineLevel="0" collapsed="false">
      <c r="A105" s="0" t="s">
        <v>132</v>
      </c>
      <c r="B105" s="4" t="n">
        <v>45762</v>
      </c>
      <c r="C105" s="0" t="s">
        <v>30</v>
      </c>
      <c r="D105" s="3" t="s">
        <v>25</v>
      </c>
      <c r="E105" s="2" t="n">
        <v>3948</v>
      </c>
      <c r="F105" s="5" t="n">
        <f aca="false">VLOOKUP(D105,Lookup!$A$2:$B$4,2,FALSE())</f>
        <v>0.15</v>
      </c>
      <c r="G105" s="2" t="n">
        <f aca="false">ROUND(E105*F105,2)</f>
        <v>592.2</v>
      </c>
      <c r="H105" s="2" t="n">
        <f aca="false">E105+G105</f>
        <v>4540.2</v>
      </c>
      <c r="I105" s="3" t="s">
        <v>22</v>
      </c>
      <c r="J105" s="0" t="str">
        <f aca="false">_xlfn.XLOOKUP(C105,Departments!$A$2:$A$6,Departments!$B$2:$B$6,"Unknown")</f>
        <v>Technology</v>
      </c>
    </row>
    <row r="106" customFormat="false" ht="15" hidden="false" customHeight="false" outlineLevel="0" collapsed="false">
      <c r="A106" s="0" t="s">
        <v>133</v>
      </c>
      <c r="B106" s="4" t="n">
        <v>45763</v>
      </c>
      <c r="C106" s="0" t="s">
        <v>32</v>
      </c>
      <c r="D106" s="3" t="s">
        <v>28</v>
      </c>
      <c r="E106" s="2" t="n">
        <v>3985</v>
      </c>
      <c r="F106" s="5" t="n">
        <f aca="false">VLOOKUP(D106,Lookup!$A$2:$B$4,2,FALSE())</f>
        <v>0.05</v>
      </c>
      <c r="G106" s="2" t="n">
        <f aca="false">ROUND(E106*F106,2)</f>
        <v>199.25</v>
      </c>
      <c r="H106" s="2" t="n">
        <f aca="false">E106+G106</f>
        <v>4184.25</v>
      </c>
      <c r="I106" s="3" t="s">
        <v>35</v>
      </c>
      <c r="J106" s="0" t="str">
        <f aca="false">_xlfn.XLOOKUP(C106,Departments!$A$2:$A$6,Departments!$B$2:$B$6,"Unknown")</f>
        <v>Operations</v>
      </c>
    </row>
    <row r="107" customFormat="false" ht="15" hidden="false" customHeight="false" outlineLevel="0" collapsed="false">
      <c r="A107" s="0" t="s">
        <v>134</v>
      </c>
      <c r="B107" s="4" t="n">
        <v>45764</v>
      </c>
      <c r="C107" s="0" t="s">
        <v>20</v>
      </c>
      <c r="D107" s="3" t="s">
        <v>21</v>
      </c>
      <c r="E107" s="2" t="n">
        <v>4022</v>
      </c>
      <c r="F107" s="5" t="n">
        <f aca="false">VLOOKUP(D107,Lookup!$A$2:$B$4,2,FALSE())</f>
        <v>0.1</v>
      </c>
      <c r="G107" s="2" t="n">
        <f aca="false">ROUND(E107*F107,2)</f>
        <v>402.2</v>
      </c>
      <c r="H107" s="2" t="n">
        <f aca="false">E107+G107</f>
        <v>4424.2</v>
      </c>
      <c r="I107" s="3" t="s">
        <v>22</v>
      </c>
      <c r="J107" s="0" t="str">
        <f aca="false">_xlfn.XLOOKUP(C107,Departments!$A$2:$A$6,Departments!$B$2:$B$6,"Unknown")</f>
        <v>Finance</v>
      </c>
    </row>
    <row r="108" customFormat="false" ht="15" hidden="false" customHeight="false" outlineLevel="0" collapsed="false">
      <c r="A108" s="0" t="s">
        <v>135</v>
      </c>
      <c r="B108" s="4" t="n">
        <v>45765</v>
      </c>
      <c r="C108" s="0" t="s">
        <v>24</v>
      </c>
      <c r="D108" s="3" t="s">
        <v>25</v>
      </c>
      <c r="E108" s="2" t="n">
        <v>4059</v>
      </c>
      <c r="F108" s="5" t="n">
        <f aca="false">VLOOKUP(D108,Lookup!$A$2:$B$4,2,FALSE())</f>
        <v>0.15</v>
      </c>
      <c r="G108" s="2" t="n">
        <f aca="false">ROUND(E108*F108,2)</f>
        <v>608.85</v>
      </c>
      <c r="H108" s="2" t="n">
        <f aca="false">E108+G108</f>
        <v>4667.85</v>
      </c>
      <c r="I108" s="3" t="s">
        <v>22</v>
      </c>
      <c r="J108" s="0" t="str">
        <f aca="false">_xlfn.XLOOKUP(C108,Departments!$A$2:$A$6,Departments!$B$2:$B$6,"Unknown")</f>
        <v>Quality</v>
      </c>
    </row>
    <row r="109" customFormat="false" ht="15" hidden="false" customHeight="false" outlineLevel="0" collapsed="false">
      <c r="A109" s="0" t="s">
        <v>136</v>
      </c>
      <c r="B109" s="4" t="n">
        <v>45766</v>
      </c>
      <c r="C109" s="0" t="s">
        <v>27</v>
      </c>
      <c r="D109" s="3" t="s">
        <v>28</v>
      </c>
      <c r="E109" s="2" t="n">
        <v>4096</v>
      </c>
      <c r="F109" s="5" t="n">
        <f aca="false">VLOOKUP(D109,Lookup!$A$2:$B$4,2,FALSE())</f>
        <v>0.05</v>
      </c>
      <c r="G109" s="2" t="n">
        <f aca="false">ROUND(E109*F109,2)</f>
        <v>204.8</v>
      </c>
      <c r="H109" s="2" t="n">
        <f aca="false">E109+G109</f>
        <v>4300.8</v>
      </c>
      <c r="I109" s="3" t="s">
        <v>22</v>
      </c>
      <c r="J109" s="0" t="str">
        <f aca="false">_xlfn.XLOOKUP(C109,Departments!$A$2:$A$6,Departments!$B$2:$B$6,"Unknown")</f>
        <v>Human Resources</v>
      </c>
    </row>
    <row r="110" customFormat="false" ht="15" hidden="false" customHeight="false" outlineLevel="0" collapsed="false">
      <c r="A110" s="0" t="s">
        <v>137</v>
      </c>
      <c r="B110" s="4" t="n">
        <v>45767</v>
      </c>
      <c r="C110" s="0" t="s">
        <v>30</v>
      </c>
      <c r="D110" s="3" t="s">
        <v>21</v>
      </c>
      <c r="E110" s="2" t="n">
        <v>4133</v>
      </c>
      <c r="F110" s="5" t="n">
        <f aca="false">VLOOKUP(D110,Lookup!$A$2:$B$4,2,FALSE())</f>
        <v>0.1</v>
      </c>
      <c r="G110" s="2" t="n">
        <f aca="false">ROUND(E110*F110,2)</f>
        <v>413.3</v>
      </c>
      <c r="H110" s="2" t="n">
        <f aca="false">E110+G110</f>
        <v>4546.3</v>
      </c>
      <c r="I110" s="3" t="s">
        <v>22</v>
      </c>
      <c r="J110" s="0" t="str">
        <f aca="false">_xlfn.XLOOKUP(C110,Departments!$A$2:$A$6,Departments!$B$2:$B$6,"Unknown")</f>
        <v>Technology</v>
      </c>
    </row>
    <row r="111" customFormat="false" ht="15" hidden="false" customHeight="false" outlineLevel="0" collapsed="false">
      <c r="A111" s="0" t="s">
        <v>138</v>
      </c>
      <c r="B111" s="4" t="n">
        <v>45768</v>
      </c>
      <c r="C111" s="0" t="s">
        <v>32</v>
      </c>
      <c r="D111" s="3" t="s">
        <v>25</v>
      </c>
      <c r="E111" s="2" t="n">
        <v>4170</v>
      </c>
      <c r="F111" s="5" t="n">
        <f aca="false">VLOOKUP(D111,Lookup!$A$2:$B$4,2,FALSE())</f>
        <v>0.15</v>
      </c>
      <c r="G111" s="2" t="n">
        <f aca="false">ROUND(E111*F111,2)</f>
        <v>625.5</v>
      </c>
      <c r="H111" s="2" t="n">
        <f aca="false">E111+G111</f>
        <v>4795.5</v>
      </c>
      <c r="I111" s="3" t="s">
        <v>22</v>
      </c>
      <c r="J111" s="0" t="str">
        <f aca="false">_xlfn.XLOOKUP(C111,Departments!$A$2:$A$6,Departments!$B$2:$B$6,"Unknown")</f>
        <v>Operations</v>
      </c>
    </row>
    <row r="112" customFormat="false" ht="15" hidden="false" customHeight="false" outlineLevel="0" collapsed="false">
      <c r="A112" s="0" t="s">
        <v>139</v>
      </c>
      <c r="B112" s="4" t="n">
        <v>45769</v>
      </c>
      <c r="C112" s="0" t="s">
        <v>20</v>
      </c>
      <c r="D112" s="3" t="s">
        <v>28</v>
      </c>
      <c r="E112" s="2" t="n">
        <v>4207</v>
      </c>
      <c r="F112" s="5" t="n">
        <f aca="false">VLOOKUP(D112,Lookup!$A$2:$B$4,2,FALSE())</f>
        <v>0.05</v>
      </c>
      <c r="G112" s="2" t="n">
        <f aca="false">ROUND(E112*F112,2)</f>
        <v>210.35</v>
      </c>
      <c r="H112" s="2" t="n">
        <f aca="false">E112+G112</f>
        <v>4417.35</v>
      </c>
      <c r="I112" s="3" t="s">
        <v>22</v>
      </c>
      <c r="J112" s="0" t="str">
        <f aca="false">_xlfn.XLOOKUP(C112,Departments!$A$2:$A$6,Departments!$B$2:$B$6,"Unknown")</f>
        <v>Finance</v>
      </c>
    </row>
    <row r="113" customFormat="false" ht="15" hidden="false" customHeight="false" outlineLevel="0" collapsed="false">
      <c r="A113" s="0" t="s">
        <v>140</v>
      </c>
      <c r="B113" s="4" t="n">
        <v>45770</v>
      </c>
      <c r="C113" s="0" t="s">
        <v>24</v>
      </c>
      <c r="D113" s="3" t="s">
        <v>21</v>
      </c>
      <c r="E113" s="2" t="n">
        <v>4244</v>
      </c>
      <c r="F113" s="5" t="n">
        <f aca="false">VLOOKUP(D113,Lookup!$A$2:$B$4,2,FALSE())</f>
        <v>0.1</v>
      </c>
      <c r="G113" s="2" t="n">
        <f aca="false">ROUND(E113*F113,2)</f>
        <v>424.4</v>
      </c>
      <c r="H113" s="2" t="n">
        <f aca="false">E113+G113</f>
        <v>4668.4</v>
      </c>
      <c r="I113" s="3" t="s">
        <v>35</v>
      </c>
      <c r="J113" s="0" t="str">
        <f aca="false">_xlfn.XLOOKUP(C113,Departments!$A$2:$A$6,Departments!$B$2:$B$6,"Unknown")</f>
        <v>Quality</v>
      </c>
    </row>
    <row r="114" customFormat="false" ht="15" hidden="false" customHeight="false" outlineLevel="0" collapsed="false">
      <c r="A114" s="0" t="s">
        <v>141</v>
      </c>
      <c r="B114" s="4" t="n">
        <v>45771</v>
      </c>
      <c r="C114" s="0" t="s">
        <v>27</v>
      </c>
      <c r="D114" s="3" t="s">
        <v>25</v>
      </c>
      <c r="E114" s="2" t="n">
        <v>4281</v>
      </c>
      <c r="F114" s="5" t="n">
        <f aca="false">VLOOKUP(D114,Lookup!$A$2:$B$4,2,FALSE())</f>
        <v>0.15</v>
      </c>
      <c r="G114" s="2" t="n">
        <f aca="false">ROUND(E114*F114,2)</f>
        <v>642.15</v>
      </c>
      <c r="H114" s="2" t="n">
        <f aca="false">E114+G114</f>
        <v>4923.15</v>
      </c>
      <c r="I114" s="3" t="s">
        <v>22</v>
      </c>
      <c r="J114" s="0" t="str">
        <f aca="false">_xlfn.XLOOKUP(C114,Departments!$A$2:$A$6,Departments!$B$2:$B$6,"Unknown")</f>
        <v>Human Resources</v>
      </c>
    </row>
    <row r="115" customFormat="false" ht="15" hidden="false" customHeight="false" outlineLevel="0" collapsed="false">
      <c r="A115" s="0" t="s">
        <v>142</v>
      </c>
      <c r="B115" s="4" t="n">
        <v>45772</v>
      </c>
      <c r="C115" s="0" t="s">
        <v>30</v>
      </c>
      <c r="D115" s="3" t="s">
        <v>28</v>
      </c>
      <c r="E115" s="2" t="n">
        <v>4318</v>
      </c>
      <c r="F115" s="5" t="n">
        <f aca="false">VLOOKUP(D115,Lookup!$A$2:$B$4,2,FALSE())</f>
        <v>0.05</v>
      </c>
      <c r="G115" s="2" t="n">
        <f aca="false">ROUND(E115*F115,2)</f>
        <v>215.9</v>
      </c>
      <c r="H115" s="2" t="n">
        <f aca="false">E115+G115</f>
        <v>4533.9</v>
      </c>
      <c r="I115" s="3" t="s">
        <v>22</v>
      </c>
      <c r="J115" s="0" t="str">
        <f aca="false">_xlfn.XLOOKUP(C115,Departments!$A$2:$A$6,Departments!$B$2:$B$6,"Unknown")</f>
        <v>Technology</v>
      </c>
    </row>
    <row r="116" customFormat="false" ht="15" hidden="false" customHeight="false" outlineLevel="0" collapsed="false">
      <c r="A116" s="0" t="s">
        <v>143</v>
      </c>
      <c r="B116" s="4" t="n">
        <v>45773</v>
      </c>
      <c r="C116" s="0" t="s">
        <v>32</v>
      </c>
      <c r="D116" s="3" t="s">
        <v>21</v>
      </c>
      <c r="E116" s="2" t="n">
        <v>4355</v>
      </c>
      <c r="F116" s="5" t="n">
        <f aca="false">VLOOKUP(D116,Lookup!$A$2:$B$4,2,FALSE())</f>
        <v>0.1</v>
      </c>
      <c r="G116" s="2" t="n">
        <f aca="false">ROUND(E116*F116,2)</f>
        <v>435.5</v>
      </c>
      <c r="H116" s="2" t="n">
        <f aca="false">E116+G116</f>
        <v>4790.5</v>
      </c>
      <c r="I116" s="3" t="s">
        <v>22</v>
      </c>
      <c r="J116" s="0" t="str">
        <f aca="false">_xlfn.XLOOKUP(C116,Departments!$A$2:$A$6,Departments!$B$2:$B$6,"Unknown")</f>
        <v>Operations</v>
      </c>
    </row>
    <row r="117" customFormat="false" ht="15" hidden="false" customHeight="false" outlineLevel="0" collapsed="false">
      <c r="A117" s="0" t="s">
        <v>144</v>
      </c>
      <c r="B117" s="4" t="n">
        <v>45774</v>
      </c>
      <c r="C117" s="0" t="s">
        <v>20</v>
      </c>
      <c r="D117" s="3" t="s">
        <v>25</v>
      </c>
      <c r="E117" s="2" t="n">
        <v>4392</v>
      </c>
      <c r="F117" s="5" t="n">
        <f aca="false">VLOOKUP(D117,Lookup!$A$2:$B$4,2,FALSE())</f>
        <v>0.15</v>
      </c>
      <c r="G117" s="2" t="n">
        <f aca="false">ROUND(E117*F117,2)</f>
        <v>658.8</v>
      </c>
      <c r="H117" s="2" t="n">
        <f aca="false">E117+G117</f>
        <v>5050.8</v>
      </c>
      <c r="I117" s="3" t="s">
        <v>22</v>
      </c>
      <c r="J117" s="0" t="str">
        <f aca="false">_xlfn.XLOOKUP(C117,Departments!$A$2:$A$6,Departments!$B$2:$B$6,"Unknown")</f>
        <v>Finance</v>
      </c>
    </row>
    <row r="118" customFormat="false" ht="15" hidden="false" customHeight="false" outlineLevel="0" collapsed="false">
      <c r="A118" s="0" t="s">
        <v>145</v>
      </c>
      <c r="B118" s="4" t="n">
        <v>45775</v>
      </c>
      <c r="C118" s="0" t="s">
        <v>24</v>
      </c>
      <c r="D118" s="3" t="s">
        <v>28</v>
      </c>
      <c r="E118" s="2" t="n">
        <v>4429</v>
      </c>
      <c r="F118" s="5" t="n">
        <f aca="false">VLOOKUP(D118,Lookup!$A$2:$B$4,2,FALSE())</f>
        <v>0.05</v>
      </c>
      <c r="G118" s="2" t="n">
        <f aca="false">ROUND(E118*F118,2)</f>
        <v>221.45</v>
      </c>
      <c r="H118" s="2" t="n">
        <f aca="false">E118+G118</f>
        <v>4650.45</v>
      </c>
      <c r="I118" s="3" t="s">
        <v>22</v>
      </c>
      <c r="J118" s="0" t="str">
        <f aca="false">_xlfn.XLOOKUP(C118,Departments!$A$2:$A$6,Departments!$B$2:$B$6,"Unknown")</f>
        <v>Quality</v>
      </c>
    </row>
    <row r="119" customFormat="false" ht="15" hidden="false" customHeight="false" outlineLevel="0" collapsed="false">
      <c r="A119" s="0" t="s">
        <v>146</v>
      </c>
      <c r="B119" s="4" t="n">
        <v>45776</v>
      </c>
      <c r="C119" s="0" t="s">
        <v>27</v>
      </c>
      <c r="D119" s="3" t="s">
        <v>21</v>
      </c>
      <c r="E119" s="2" t="n">
        <v>4466</v>
      </c>
      <c r="F119" s="5" t="n">
        <f aca="false">VLOOKUP(D119,Lookup!$A$2:$B$4,2,FALSE())</f>
        <v>0.1</v>
      </c>
      <c r="G119" s="2" t="n">
        <f aca="false">ROUND(E119*F119,2)</f>
        <v>446.6</v>
      </c>
      <c r="H119" s="2" t="n">
        <f aca="false">E119+G119</f>
        <v>4912.6</v>
      </c>
      <c r="I119" s="3" t="s">
        <v>22</v>
      </c>
      <c r="J119" s="0" t="str">
        <f aca="false">_xlfn.XLOOKUP(C119,Departments!$A$2:$A$6,Departments!$B$2:$B$6,"Unknown")</f>
        <v>Human Resources</v>
      </c>
    </row>
    <row r="120" customFormat="false" ht="15" hidden="false" customHeight="false" outlineLevel="0" collapsed="false">
      <c r="A120" s="0" t="s">
        <v>147</v>
      </c>
      <c r="B120" s="4" t="n">
        <v>45777</v>
      </c>
      <c r="C120" s="0" t="s">
        <v>30</v>
      </c>
      <c r="D120" s="3" t="s">
        <v>25</v>
      </c>
      <c r="E120" s="2" t="n">
        <v>4503</v>
      </c>
      <c r="F120" s="5" t="n">
        <f aca="false">VLOOKUP(D120,Lookup!$A$2:$B$4,2,FALSE())</f>
        <v>0.15</v>
      </c>
      <c r="G120" s="2" t="n">
        <f aca="false">ROUND(E120*F120,2)</f>
        <v>675.45</v>
      </c>
      <c r="H120" s="2" t="n">
        <f aca="false">E120+G120</f>
        <v>5178.45</v>
      </c>
      <c r="I120" s="3" t="s">
        <v>35</v>
      </c>
      <c r="J120" s="0" t="str">
        <f aca="false">_xlfn.XLOOKUP(C120,Departments!$A$2:$A$6,Departments!$B$2:$B$6,"Unknown")</f>
        <v>Technology</v>
      </c>
    </row>
    <row r="121" customFormat="false" ht="15" hidden="false" customHeight="false" outlineLevel="0" collapsed="false">
      <c r="A121" s="0" t="s">
        <v>148</v>
      </c>
      <c r="B121" s="4" t="n">
        <v>45778</v>
      </c>
      <c r="C121" s="0" t="s">
        <v>32</v>
      </c>
      <c r="D121" s="3" t="s">
        <v>28</v>
      </c>
      <c r="E121" s="2" t="n">
        <v>4540</v>
      </c>
      <c r="F121" s="5" t="n">
        <f aca="false">VLOOKUP(D121,Lookup!$A$2:$B$4,2,FALSE())</f>
        <v>0.05</v>
      </c>
      <c r="G121" s="2" t="n">
        <f aca="false">ROUND(E121*F121,2)</f>
        <v>227</v>
      </c>
      <c r="H121" s="2" t="n">
        <f aca="false">E121+G121</f>
        <v>4767</v>
      </c>
      <c r="I121" s="3" t="s">
        <v>22</v>
      </c>
      <c r="J121" s="0" t="str">
        <f aca="false">_xlfn.XLOOKUP(C121,Departments!$A$2:$A$6,Departments!$B$2:$B$6,"Unknown")</f>
        <v>Operations</v>
      </c>
    </row>
    <row r="122" customFormat="false" ht="15" hidden="false" customHeight="false" outlineLevel="0" collapsed="false">
      <c r="A122" s="0" t="s">
        <v>149</v>
      </c>
      <c r="B122" s="4" t="n">
        <v>45779</v>
      </c>
      <c r="C122" s="0" t="s">
        <v>20</v>
      </c>
      <c r="D122" s="3" t="s">
        <v>21</v>
      </c>
      <c r="E122" s="2" t="n">
        <v>4577</v>
      </c>
      <c r="F122" s="5" t="n">
        <f aca="false">VLOOKUP(D122,Lookup!$A$2:$B$4,2,FALSE())</f>
        <v>0.1</v>
      </c>
      <c r="G122" s="2" t="n">
        <f aca="false">ROUND(E122*F122,2)</f>
        <v>457.7</v>
      </c>
      <c r="H122" s="2" t="n">
        <f aca="false">E122+G122</f>
        <v>5034.7</v>
      </c>
      <c r="I122" s="3" t="s">
        <v>22</v>
      </c>
      <c r="J122" s="0" t="str">
        <f aca="false">_xlfn.XLOOKUP(C122,Departments!$A$2:$A$6,Departments!$B$2:$B$6,"Unknown")</f>
        <v>Finance</v>
      </c>
    </row>
    <row r="123" customFormat="false" ht="15" hidden="false" customHeight="false" outlineLevel="0" collapsed="false">
      <c r="A123" s="0" t="s">
        <v>150</v>
      </c>
      <c r="B123" s="4" t="n">
        <v>45780</v>
      </c>
      <c r="C123" s="0" t="s">
        <v>24</v>
      </c>
      <c r="D123" s="3" t="s">
        <v>25</v>
      </c>
      <c r="E123" s="2" t="n">
        <v>4614</v>
      </c>
      <c r="F123" s="5" t="n">
        <f aca="false">VLOOKUP(D123,Lookup!$A$2:$B$4,2,FALSE())</f>
        <v>0.15</v>
      </c>
      <c r="G123" s="2" t="n">
        <f aca="false">ROUND(E123*F123,2)</f>
        <v>692.1</v>
      </c>
      <c r="H123" s="2" t="n">
        <f aca="false">E123+G123</f>
        <v>5306.1</v>
      </c>
      <c r="I123" s="3" t="s">
        <v>22</v>
      </c>
      <c r="J123" s="0" t="str">
        <f aca="false">_xlfn.XLOOKUP(C123,Departments!$A$2:$A$6,Departments!$B$2:$B$6,"Unknown")</f>
        <v>Quality</v>
      </c>
    </row>
    <row r="124" customFormat="false" ht="15" hidden="false" customHeight="false" outlineLevel="0" collapsed="false">
      <c r="A124" s="0" t="s">
        <v>151</v>
      </c>
      <c r="B124" s="4" t="n">
        <v>45781</v>
      </c>
      <c r="C124" s="0" t="s">
        <v>27</v>
      </c>
      <c r="D124" s="3" t="s">
        <v>28</v>
      </c>
      <c r="E124" s="2" t="n">
        <v>4651</v>
      </c>
      <c r="F124" s="5" t="n">
        <f aca="false">VLOOKUP(D124,Lookup!$A$2:$B$4,2,FALSE())</f>
        <v>0.05</v>
      </c>
      <c r="G124" s="2" t="n">
        <f aca="false">ROUND(E124*F124,2)</f>
        <v>232.55</v>
      </c>
      <c r="H124" s="2" t="n">
        <f aca="false">E124+G124</f>
        <v>4883.55</v>
      </c>
      <c r="I124" s="3" t="s">
        <v>22</v>
      </c>
      <c r="J124" s="0" t="str">
        <f aca="false">_xlfn.XLOOKUP(C124,Departments!$A$2:$A$6,Departments!$B$2:$B$6,"Unknown")</f>
        <v>Human Resources</v>
      </c>
    </row>
    <row r="125" customFormat="false" ht="15" hidden="false" customHeight="false" outlineLevel="0" collapsed="false">
      <c r="A125" s="0" t="s">
        <v>152</v>
      </c>
      <c r="B125" s="4" t="n">
        <v>45782</v>
      </c>
      <c r="C125" s="0" t="s">
        <v>30</v>
      </c>
      <c r="D125" s="3" t="s">
        <v>21</v>
      </c>
      <c r="E125" s="2" t="n">
        <v>4688</v>
      </c>
      <c r="F125" s="5" t="n">
        <f aca="false">VLOOKUP(D125,Lookup!$A$2:$B$4,2,FALSE())</f>
        <v>0.1</v>
      </c>
      <c r="G125" s="2" t="n">
        <f aca="false">ROUND(E125*F125,2)</f>
        <v>468.8</v>
      </c>
      <c r="H125" s="2" t="n">
        <f aca="false">E125+G125</f>
        <v>5156.8</v>
      </c>
      <c r="I125" s="3" t="s">
        <v>22</v>
      </c>
      <c r="J125" s="0" t="str">
        <f aca="false">_xlfn.XLOOKUP(C125,Departments!$A$2:$A$6,Departments!$B$2:$B$6,"Unknown")</f>
        <v>Technology</v>
      </c>
    </row>
    <row r="126" customFormat="false" ht="15" hidden="false" customHeight="false" outlineLevel="0" collapsed="false">
      <c r="A126" s="0" t="s">
        <v>153</v>
      </c>
      <c r="B126" s="4" t="n">
        <v>45783</v>
      </c>
      <c r="C126" s="0" t="s">
        <v>32</v>
      </c>
      <c r="D126" s="3" t="s">
        <v>25</v>
      </c>
      <c r="E126" s="2" t="n">
        <v>4725</v>
      </c>
      <c r="F126" s="5" t="n">
        <f aca="false">VLOOKUP(D126,Lookup!$A$2:$B$4,2,FALSE())</f>
        <v>0.15</v>
      </c>
      <c r="G126" s="2" t="n">
        <f aca="false">ROUND(E126*F126,2)</f>
        <v>708.75</v>
      </c>
      <c r="H126" s="2" t="n">
        <f aca="false">E126+G126</f>
        <v>5433.75</v>
      </c>
      <c r="I126" s="3" t="s">
        <v>22</v>
      </c>
      <c r="J126" s="0" t="str">
        <f aca="false">_xlfn.XLOOKUP(C126,Departments!$A$2:$A$6,Departments!$B$2:$B$6,"Unknown")</f>
        <v>Operations</v>
      </c>
    </row>
    <row r="127" customFormat="false" ht="15" hidden="false" customHeight="false" outlineLevel="0" collapsed="false">
      <c r="A127" s="0" t="s">
        <v>154</v>
      </c>
      <c r="B127" s="4" t="n">
        <v>45784</v>
      </c>
      <c r="C127" s="0" t="s">
        <v>20</v>
      </c>
      <c r="D127" s="3" t="s">
        <v>28</v>
      </c>
      <c r="E127" s="2" t="n">
        <v>4762</v>
      </c>
      <c r="F127" s="5" t="n">
        <f aca="false">VLOOKUP(D127,Lookup!$A$2:$B$4,2,FALSE())</f>
        <v>0.05</v>
      </c>
      <c r="G127" s="2" t="n">
        <f aca="false">ROUND(E127*F127,2)</f>
        <v>238.1</v>
      </c>
      <c r="H127" s="2" t="n">
        <f aca="false">E127+G127</f>
        <v>5000.1</v>
      </c>
      <c r="I127" s="3" t="s">
        <v>35</v>
      </c>
      <c r="J127" s="0" t="str">
        <f aca="false">_xlfn.XLOOKUP(C127,Departments!$A$2:$A$6,Departments!$B$2:$B$6,"Unknown")</f>
        <v>Finance</v>
      </c>
    </row>
    <row r="128" customFormat="false" ht="15" hidden="false" customHeight="false" outlineLevel="0" collapsed="false">
      <c r="A128" s="0" t="s">
        <v>155</v>
      </c>
      <c r="B128" s="4" t="n">
        <v>45785</v>
      </c>
      <c r="C128" s="0" t="s">
        <v>24</v>
      </c>
      <c r="D128" s="3" t="s">
        <v>21</v>
      </c>
      <c r="E128" s="2" t="n">
        <v>4799</v>
      </c>
      <c r="F128" s="5" t="n">
        <f aca="false">VLOOKUP(D128,Lookup!$A$2:$B$4,2,FALSE())</f>
        <v>0.1</v>
      </c>
      <c r="G128" s="2" t="n">
        <f aca="false">ROUND(E128*F128,2)</f>
        <v>479.9</v>
      </c>
      <c r="H128" s="2" t="n">
        <f aca="false">E128+G128</f>
        <v>5278.9</v>
      </c>
      <c r="I128" s="3" t="s">
        <v>22</v>
      </c>
      <c r="J128" s="0" t="str">
        <f aca="false">_xlfn.XLOOKUP(C128,Departments!$A$2:$A$6,Departments!$B$2:$B$6,"Unknown")</f>
        <v>Quality</v>
      </c>
    </row>
    <row r="129" customFormat="false" ht="15" hidden="false" customHeight="false" outlineLevel="0" collapsed="false">
      <c r="A129" s="0" t="s">
        <v>156</v>
      </c>
      <c r="B129" s="4" t="n">
        <v>45786</v>
      </c>
      <c r="C129" s="0" t="s">
        <v>27</v>
      </c>
      <c r="D129" s="3" t="s">
        <v>25</v>
      </c>
      <c r="E129" s="2" t="n">
        <v>4836</v>
      </c>
      <c r="F129" s="5" t="n">
        <f aca="false">VLOOKUP(D129,Lookup!$A$2:$B$4,2,FALSE())</f>
        <v>0.15</v>
      </c>
      <c r="G129" s="2" t="n">
        <f aca="false">ROUND(E129*F129,2)</f>
        <v>725.4</v>
      </c>
      <c r="H129" s="2" t="n">
        <f aca="false">E129+G129</f>
        <v>5561.4</v>
      </c>
      <c r="I129" s="3" t="s">
        <v>22</v>
      </c>
      <c r="J129" s="0" t="str">
        <f aca="false">_xlfn.XLOOKUP(C129,Departments!$A$2:$A$6,Departments!$B$2:$B$6,"Unknown")</f>
        <v>Human Resources</v>
      </c>
    </row>
    <row r="130" customFormat="false" ht="15" hidden="false" customHeight="false" outlineLevel="0" collapsed="false">
      <c r="A130" s="0" t="s">
        <v>157</v>
      </c>
      <c r="B130" s="4" t="n">
        <v>45787</v>
      </c>
      <c r="C130" s="0" t="s">
        <v>30</v>
      </c>
      <c r="D130" s="3" t="s">
        <v>28</v>
      </c>
      <c r="E130" s="2" t="n">
        <v>4873</v>
      </c>
      <c r="F130" s="5" t="n">
        <f aca="false">VLOOKUP(D130,Lookup!$A$2:$B$4,2,FALSE())</f>
        <v>0.05</v>
      </c>
      <c r="G130" s="2" t="n">
        <f aca="false">ROUND(E130*F130,2)</f>
        <v>243.65</v>
      </c>
      <c r="H130" s="2" t="n">
        <f aca="false">E130+G130</f>
        <v>5116.65</v>
      </c>
      <c r="I130" s="3" t="s">
        <v>22</v>
      </c>
      <c r="J130" s="0" t="str">
        <f aca="false">_xlfn.XLOOKUP(C130,Departments!$A$2:$A$6,Departments!$B$2:$B$6,"Unknown")</f>
        <v>Technology</v>
      </c>
    </row>
    <row r="131" customFormat="false" ht="15" hidden="false" customHeight="false" outlineLevel="0" collapsed="false">
      <c r="A131" s="0" t="s">
        <v>158</v>
      </c>
      <c r="B131" s="4" t="n">
        <v>45788</v>
      </c>
      <c r="C131" s="0" t="s">
        <v>32</v>
      </c>
      <c r="D131" s="3" t="s">
        <v>21</v>
      </c>
      <c r="E131" s="2" t="n">
        <v>4910</v>
      </c>
      <c r="F131" s="5" t="n">
        <f aca="false">VLOOKUP(D131,Lookup!$A$2:$B$4,2,FALSE())</f>
        <v>0.1</v>
      </c>
      <c r="G131" s="2" t="n">
        <f aca="false">ROUND(E131*F131,2)</f>
        <v>491</v>
      </c>
      <c r="H131" s="2" t="n">
        <f aca="false">E131+G131</f>
        <v>5401</v>
      </c>
      <c r="I131" s="3" t="s">
        <v>22</v>
      </c>
      <c r="J131" s="0" t="str">
        <f aca="false">_xlfn.XLOOKUP(C131,Departments!$A$2:$A$6,Departments!$B$2:$B$6,"Unknown")</f>
        <v>Operations</v>
      </c>
    </row>
    <row r="132" customFormat="false" ht="15" hidden="false" customHeight="false" outlineLevel="0" collapsed="false">
      <c r="A132" s="0" t="s">
        <v>159</v>
      </c>
      <c r="B132" s="4" t="n">
        <v>45789</v>
      </c>
      <c r="C132" s="0" t="s">
        <v>20</v>
      </c>
      <c r="D132" s="3" t="s">
        <v>25</v>
      </c>
      <c r="E132" s="2" t="n">
        <v>4947</v>
      </c>
      <c r="F132" s="5" t="n">
        <f aca="false">VLOOKUP(D132,Lookup!$A$2:$B$4,2,FALSE())</f>
        <v>0.15</v>
      </c>
      <c r="G132" s="2" t="n">
        <f aca="false">ROUND(E132*F132,2)</f>
        <v>742.05</v>
      </c>
      <c r="H132" s="2" t="n">
        <f aca="false">E132+G132</f>
        <v>5689.05</v>
      </c>
      <c r="I132" s="3" t="s">
        <v>22</v>
      </c>
      <c r="J132" s="0" t="str">
        <f aca="false">_xlfn.XLOOKUP(C132,Departments!$A$2:$A$6,Departments!$B$2:$B$6,"Unknown")</f>
        <v>Finance</v>
      </c>
    </row>
    <row r="133" customFormat="false" ht="15" hidden="false" customHeight="false" outlineLevel="0" collapsed="false">
      <c r="A133" s="0" t="s">
        <v>160</v>
      </c>
      <c r="B133" s="4" t="n">
        <v>45790</v>
      </c>
      <c r="C133" s="0" t="s">
        <v>24</v>
      </c>
      <c r="D133" s="3" t="s">
        <v>28</v>
      </c>
      <c r="E133" s="2" t="n">
        <v>4984</v>
      </c>
      <c r="F133" s="5" t="n">
        <f aca="false">VLOOKUP(D133,Lookup!$A$2:$B$4,2,FALSE())</f>
        <v>0.05</v>
      </c>
      <c r="G133" s="2" t="n">
        <f aca="false">ROUND(E133*F133,2)</f>
        <v>249.2</v>
      </c>
      <c r="H133" s="2" t="n">
        <f aca="false">E133+G133</f>
        <v>5233.2</v>
      </c>
      <c r="I133" s="3" t="s">
        <v>22</v>
      </c>
      <c r="J133" s="0" t="str">
        <f aca="false">_xlfn.XLOOKUP(C133,Departments!$A$2:$A$6,Departments!$B$2:$B$6,"Unknown")</f>
        <v>Quality</v>
      </c>
    </row>
    <row r="134" customFormat="false" ht="15" hidden="false" customHeight="false" outlineLevel="0" collapsed="false">
      <c r="A134" s="0" t="s">
        <v>161</v>
      </c>
      <c r="B134" s="4" t="n">
        <v>45791</v>
      </c>
      <c r="C134" s="0" t="s">
        <v>27</v>
      </c>
      <c r="D134" s="3" t="s">
        <v>21</v>
      </c>
      <c r="E134" s="2" t="n">
        <v>5021</v>
      </c>
      <c r="F134" s="5" t="n">
        <f aca="false">VLOOKUP(D134,Lookup!$A$2:$B$4,2,FALSE())</f>
        <v>0.1</v>
      </c>
      <c r="G134" s="2" t="n">
        <f aca="false">ROUND(E134*F134,2)</f>
        <v>502.1</v>
      </c>
      <c r="H134" s="2" t="n">
        <f aca="false">E134+G134</f>
        <v>5523.1</v>
      </c>
      <c r="I134" s="3" t="s">
        <v>35</v>
      </c>
      <c r="J134" s="0" t="str">
        <f aca="false">_xlfn.XLOOKUP(C134,Departments!$A$2:$A$6,Departments!$B$2:$B$6,"Unknown")</f>
        <v>Human Resources</v>
      </c>
    </row>
    <row r="135" customFormat="false" ht="15" hidden="false" customHeight="false" outlineLevel="0" collapsed="false">
      <c r="A135" s="0" t="s">
        <v>162</v>
      </c>
      <c r="B135" s="4" t="n">
        <v>45792</v>
      </c>
      <c r="C135" s="0" t="s">
        <v>30</v>
      </c>
      <c r="D135" s="3" t="s">
        <v>25</v>
      </c>
      <c r="E135" s="2" t="n">
        <v>5058</v>
      </c>
      <c r="F135" s="5" t="n">
        <f aca="false">VLOOKUP(D135,Lookup!$A$2:$B$4,2,FALSE())</f>
        <v>0.15</v>
      </c>
      <c r="G135" s="2" t="n">
        <f aca="false">ROUND(E135*F135,2)</f>
        <v>758.7</v>
      </c>
      <c r="H135" s="2" t="n">
        <f aca="false">E135+G135</f>
        <v>5816.7</v>
      </c>
      <c r="I135" s="3" t="s">
        <v>22</v>
      </c>
      <c r="J135" s="0" t="str">
        <f aca="false">_xlfn.XLOOKUP(C135,Departments!$A$2:$A$6,Departments!$B$2:$B$6,"Unknown")</f>
        <v>Technology</v>
      </c>
    </row>
    <row r="136" customFormat="false" ht="15" hidden="false" customHeight="false" outlineLevel="0" collapsed="false">
      <c r="A136" s="0" t="s">
        <v>163</v>
      </c>
      <c r="B136" s="4" t="n">
        <v>45793</v>
      </c>
      <c r="C136" s="0" t="s">
        <v>32</v>
      </c>
      <c r="D136" s="3" t="s">
        <v>28</v>
      </c>
      <c r="E136" s="2" t="n">
        <v>5095</v>
      </c>
      <c r="F136" s="5" t="n">
        <f aca="false">VLOOKUP(D136,Lookup!$A$2:$B$4,2,FALSE())</f>
        <v>0.05</v>
      </c>
      <c r="G136" s="2" t="n">
        <f aca="false">ROUND(E136*F136,2)</f>
        <v>254.75</v>
      </c>
      <c r="H136" s="2" t="n">
        <f aca="false">E136+G136</f>
        <v>5349.75</v>
      </c>
      <c r="I136" s="3" t="s">
        <v>22</v>
      </c>
      <c r="J136" s="0" t="str">
        <f aca="false">_xlfn.XLOOKUP(C136,Departments!$A$2:$A$6,Departments!$B$2:$B$6,"Unknown")</f>
        <v>Operations</v>
      </c>
    </row>
    <row r="137" customFormat="false" ht="15" hidden="false" customHeight="false" outlineLevel="0" collapsed="false">
      <c r="A137" s="0" t="s">
        <v>164</v>
      </c>
      <c r="B137" s="4" t="n">
        <v>45794</v>
      </c>
      <c r="C137" s="0" t="s">
        <v>20</v>
      </c>
      <c r="D137" s="3" t="s">
        <v>21</v>
      </c>
      <c r="E137" s="2" t="n">
        <v>132</v>
      </c>
      <c r="F137" s="5" t="n">
        <f aca="false">VLOOKUP(D137,Lookup!$A$2:$B$4,2,FALSE())</f>
        <v>0.1</v>
      </c>
      <c r="G137" s="2" t="n">
        <f aca="false">ROUND(E137*F137,2)</f>
        <v>13.2</v>
      </c>
      <c r="H137" s="2" t="n">
        <f aca="false">E137+G137</f>
        <v>145.2</v>
      </c>
      <c r="I137" s="3" t="s">
        <v>22</v>
      </c>
      <c r="J137" s="0" t="str">
        <f aca="false">_xlfn.XLOOKUP(C137,Departments!$A$2:$A$6,Departments!$B$2:$B$6,"Unknown")</f>
        <v>Finance</v>
      </c>
    </row>
    <row r="138" customFormat="false" ht="15" hidden="false" customHeight="false" outlineLevel="0" collapsed="false">
      <c r="A138" s="0" t="s">
        <v>165</v>
      </c>
      <c r="B138" s="4" t="n">
        <v>45795</v>
      </c>
      <c r="C138" s="0" t="s">
        <v>24</v>
      </c>
      <c r="D138" s="3" t="s">
        <v>25</v>
      </c>
      <c r="E138" s="2" t="n">
        <v>169</v>
      </c>
      <c r="F138" s="5" t="n">
        <f aca="false">VLOOKUP(D138,Lookup!$A$2:$B$4,2,FALSE())</f>
        <v>0.15</v>
      </c>
      <c r="G138" s="2" t="n">
        <f aca="false">ROUND(E138*F138,2)</f>
        <v>25.35</v>
      </c>
      <c r="H138" s="2" t="n">
        <f aca="false">E138+G138</f>
        <v>194.35</v>
      </c>
      <c r="I138" s="3" t="s">
        <v>22</v>
      </c>
      <c r="J138" s="0" t="str">
        <f aca="false">_xlfn.XLOOKUP(C138,Departments!$A$2:$A$6,Departments!$B$2:$B$6,"Unknown")</f>
        <v>Quality</v>
      </c>
    </row>
    <row r="139" customFormat="false" ht="15" hidden="false" customHeight="false" outlineLevel="0" collapsed="false">
      <c r="A139" s="0" t="s">
        <v>166</v>
      </c>
      <c r="B139" s="4" t="n">
        <v>45796</v>
      </c>
      <c r="C139" s="0" t="s">
        <v>27</v>
      </c>
      <c r="D139" s="3" t="s">
        <v>28</v>
      </c>
      <c r="E139" s="2" t="n">
        <v>206</v>
      </c>
      <c r="F139" s="5" t="n">
        <f aca="false">VLOOKUP(D139,Lookup!$A$2:$B$4,2,FALSE())</f>
        <v>0.05</v>
      </c>
      <c r="G139" s="2" t="n">
        <f aca="false">ROUND(E139*F139,2)</f>
        <v>10.3</v>
      </c>
      <c r="H139" s="2" t="n">
        <f aca="false">E139+G139</f>
        <v>216.3</v>
      </c>
      <c r="I139" s="3" t="s">
        <v>22</v>
      </c>
      <c r="J139" s="0" t="str">
        <f aca="false">_xlfn.XLOOKUP(C139,Departments!$A$2:$A$6,Departments!$B$2:$B$6,"Unknown")</f>
        <v>Human Resources</v>
      </c>
    </row>
    <row r="140" customFormat="false" ht="15" hidden="false" customHeight="false" outlineLevel="0" collapsed="false">
      <c r="A140" s="0" t="s">
        <v>167</v>
      </c>
      <c r="B140" s="4" t="n">
        <v>45797</v>
      </c>
      <c r="C140" s="0" t="s">
        <v>30</v>
      </c>
      <c r="D140" s="3" t="s">
        <v>21</v>
      </c>
      <c r="E140" s="2" t="n">
        <v>243</v>
      </c>
      <c r="F140" s="5" t="n">
        <f aca="false">VLOOKUP(D140,Lookup!$A$2:$B$4,2,FALSE())</f>
        <v>0.1</v>
      </c>
      <c r="G140" s="2" t="n">
        <f aca="false">ROUND(E140*F140,2)</f>
        <v>24.3</v>
      </c>
      <c r="H140" s="2" t="n">
        <f aca="false">E140+G140</f>
        <v>267.3</v>
      </c>
      <c r="I140" s="3" t="s">
        <v>22</v>
      </c>
      <c r="J140" s="0" t="str">
        <f aca="false">_xlfn.XLOOKUP(C140,Departments!$A$2:$A$6,Departments!$B$2:$B$6,"Unknown")</f>
        <v>Technology</v>
      </c>
    </row>
    <row r="141" customFormat="false" ht="15" hidden="false" customHeight="false" outlineLevel="0" collapsed="false">
      <c r="A141" s="0" t="s">
        <v>168</v>
      </c>
      <c r="B141" s="4" t="n">
        <v>45798</v>
      </c>
      <c r="C141" s="0" t="s">
        <v>32</v>
      </c>
      <c r="D141" s="3" t="s">
        <v>25</v>
      </c>
      <c r="E141" s="2" t="n">
        <v>280</v>
      </c>
      <c r="F141" s="5" t="n">
        <f aca="false">VLOOKUP(D141,Lookup!$A$2:$B$4,2,FALSE())</f>
        <v>0.15</v>
      </c>
      <c r="G141" s="2" t="n">
        <f aca="false">ROUND(E141*F141,2)</f>
        <v>42</v>
      </c>
      <c r="H141" s="2" t="n">
        <f aca="false">E141+G141</f>
        <v>322</v>
      </c>
      <c r="I141" s="3" t="s">
        <v>35</v>
      </c>
      <c r="J141" s="0" t="str">
        <f aca="false">_xlfn.XLOOKUP(C141,Departments!$A$2:$A$6,Departments!$B$2:$B$6,"Unknown")</f>
        <v>Operations</v>
      </c>
    </row>
    <row r="142" customFormat="false" ht="15" hidden="false" customHeight="false" outlineLevel="0" collapsed="false">
      <c r="A142" s="0" t="s">
        <v>169</v>
      </c>
      <c r="B142" s="4" t="n">
        <v>45799</v>
      </c>
      <c r="C142" s="0" t="s">
        <v>20</v>
      </c>
      <c r="D142" s="3" t="s">
        <v>28</v>
      </c>
      <c r="E142" s="2" t="n">
        <v>317</v>
      </c>
      <c r="F142" s="5" t="n">
        <f aca="false">VLOOKUP(D142,Lookup!$A$2:$B$4,2,FALSE())</f>
        <v>0.05</v>
      </c>
      <c r="G142" s="2" t="n">
        <f aca="false">ROUND(E142*F142,2)</f>
        <v>15.85</v>
      </c>
      <c r="H142" s="2" t="n">
        <f aca="false">E142+G142</f>
        <v>332.85</v>
      </c>
      <c r="I142" s="3" t="s">
        <v>22</v>
      </c>
      <c r="J142" s="0" t="str">
        <f aca="false">_xlfn.XLOOKUP(C142,Departments!$A$2:$A$6,Departments!$B$2:$B$6,"Unknown")</f>
        <v>Finance</v>
      </c>
    </row>
    <row r="143" customFormat="false" ht="15" hidden="false" customHeight="false" outlineLevel="0" collapsed="false">
      <c r="A143" s="0" t="s">
        <v>170</v>
      </c>
      <c r="B143" s="4" t="n">
        <v>45800</v>
      </c>
      <c r="C143" s="0" t="s">
        <v>24</v>
      </c>
      <c r="D143" s="3" t="s">
        <v>21</v>
      </c>
      <c r="E143" s="2" t="n">
        <v>354</v>
      </c>
      <c r="F143" s="5" t="n">
        <f aca="false">VLOOKUP(D143,Lookup!$A$2:$B$4,2,FALSE())</f>
        <v>0.1</v>
      </c>
      <c r="G143" s="2" t="n">
        <f aca="false">ROUND(E143*F143,2)</f>
        <v>35.4</v>
      </c>
      <c r="H143" s="2" t="n">
        <f aca="false">E143+G143</f>
        <v>389.4</v>
      </c>
      <c r="I143" s="3" t="s">
        <v>22</v>
      </c>
      <c r="J143" s="0" t="str">
        <f aca="false">_xlfn.XLOOKUP(C143,Departments!$A$2:$A$6,Departments!$B$2:$B$6,"Unknown")</f>
        <v>Quality</v>
      </c>
    </row>
    <row r="144" customFormat="false" ht="15" hidden="false" customHeight="false" outlineLevel="0" collapsed="false">
      <c r="A144" s="0" t="s">
        <v>171</v>
      </c>
      <c r="B144" s="4" t="n">
        <v>45801</v>
      </c>
      <c r="C144" s="0" t="s">
        <v>27</v>
      </c>
      <c r="D144" s="3" t="s">
        <v>25</v>
      </c>
      <c r="E144" s="2" t="n">
        <v>391</v>
      </c>
      <c r="F144" s="5" t="n">
        <f aca="false">VLOOKUP(D144,Lookup!$A$2:$B$4,2,FALSE())</f>
        <v>0.15</v>
      </c>
      <c r="G144" s="2" t="n">
        <f aca="false">ROUND(E144*F144,2)</f>
        <v>58.65</v>
      </c>
      <c r="H144" s="2" t="n">
        <f aca="false">E144+G144</f>
        <v>449.65</v>
      </c>
      <c r="I144" s="3" t="s">
        <v>22</v>
      </c>
      <c r="J144" s="0" t="str">
        <f aca="false">_xlfn.XLOOKUP(C144,Departments!$A$2:$A$6,Departments!$B$2:$B$6,"Unknown")</f>
        <v>Human Resources</v>
      </c>
    </row>
    <row r="145" customFormat="false" ht="15" hidden="false" customHeight="false" outlineLevel="0" collapsed="false">
      <c r="A145" s="0" t="s">
        <v>172</v>
      </c>
      <c r="B145" s="4" t="n">
        <v>45802</v>
      </c>
      <c r="C145" s="0" t="s">
        <v>30</v>
      </c>
      <c r="D145" s="3" t="s">
        <v>28</v>
      </c>
      <c r="E145" s="2" t="n">
        <v>428</v>
      </c>
      <c r="F145" s="5" t="n">
        <f aca="false">VLOOKUP(D145,Lookup!$A$2:$B$4,2,FALSE())</f>
        <v>0.05</v>
      </c>
      <c r="G145" s="2" t="n">
        <f aca="false">ROUND(E145*F145,2)</f>
        <v>21.4</v>
      </c>
      <c r="H145" s="2" t="n">
        <f aca="false">E145+G145</f>
        <v>449.4</v>
      </c>
      <c r="I145" s="3" t="s">
        <v>22</v>
      </c>
      <c r="J145" s="0" t="str">
        <f aca="false">_xlfn.XLOOKUP(C145,Departments!$A$2:$A$6,Departments!$B$2:$B$6,"Unknown")</f>
        <v>Technology</v>
      </c>
    </row>
    <row r="146" customFormat="false" ht="15" hidden="false" customHeight="false" outlineLevel="0" collapsed="false">
      <c r="A146" s="0" t="s">
        <v>173</v>
      </c>
      <c r="B146" s="4" t="n">
        <v>45803</v>
      </c>
      <c r="C146" s="0" t="s">
        <v>32</v>
      </c>
      <c r="D146" s="3" t="s">
        <v>21</v>
      </c>
      <c r="E146" s="2" t="n">
        <v>465</v>
      </c>
      <c r="F146" s="5" t="n">
        <f aca="false">VLOOKUP(D146,Lookup!$A$2:$B$4,2,FALSE())</f>
        <v>0.1</v>
      </c>
      <c r="G146" s="2" t="n">
        <f aca="false">ROUND(E146*F146,2)</f>
        <v>46.5</v>
      </c>
      <c r="H146" s="2" t="n">
        <f aca="false">E146+G146</f>
        <v>511.5</v>
      </c>
      <c r="I146" s="3" t="s">
        <v>22</v>
      </c>
      <c r="J146" s="0" t="str">
        <f aca="false">_xlfn.XLOOKUP(C146,Departments!$A$2:$A$6,Departments!$B$2:$B$6,"Unknown")</f>
        <v>Operations</v>
      </c>
    </row>
    <row r="147" customFormat="false" ht="15" hidden="false" customHeight="false" outlineLevel="0" collapsed="false">
      <c r="A147" s="0" t="s">
        <v>174</v>
      </c>
      <c r="B147" s="4" t="n">
        <v>45804</v>
      </c>
      <c r="C147" s="0" t="s">
        <v>20</v>
      </c>
      <c r="D147" s="3" t="s">
        <v>25</v>
      </c>
      <c r="E147" s="2" t="n">
        <v>502</v>
      </c>
      <c r="F147" s="5" t="n">
        <f aca="false">VLOOKUP(D147,Lookup!$A$2:$B$4,2,FALSE())</f>
        <v>0.15</v>
      </c>
      <c r="G147" s="2" t="n">
        <f aca="false">ROUND(E147*F147,2)</f>
        <v>75.3</v>
      </c>
      <c r="H147" s="2" t="n">
        <f aca="false">E147+G147</f>
        <v>577.3</v>
      </c>
      <c r="I147" s="3" t="s">
        <v>22</v>
      </c>
      <c r="J147" s="0" t="str">
        <f aca="false">_xlfn.XLOOKUP(C147,Departments!$A$2:$A$6,Departments!$B$2:$B$6,"Unknown")</f>
        <v>Finance</v>
      </c>
    </row>
    <row r="148" customFormat="false" ht="15" hidden="false" customHeight="false" outlineLevel="0" collapsed="false">
      <c r="A148" s="0" t="s">
        <v>175</v>
      </c>
      <c r="B148" s="4" t="n">
        <v>45805</v>
      </c>
      <c r="C148" s="0" t="s">
        <v>24</v>
      </c>
      <c r="D148" s="3" t="s">
        <v>28</v>
      </c>
      <c r="E148" s="2" t="n">
        <v>539</v>
      </c>
      <c r="F148" s="5" t="n">
        <f aca="false">VLOOKUP(D148,Lookup!$A$2:$B$4,2,FALSE())</f>
        <v>0.05</v>
      </c>
      <c r="G148" s="2" t="n">
        <f aca="false">ROUND(E148*F148,2)</f>
        <v>26.95</v>
      </c>
      <c r="H148" s="2" t="n">
        <f aca="false">E148+G148</f>
        <v>565.95</v>
      </c>
      <c r="I148" s="3" t="s">
        <v>35</v>
      </c>
      <c r="J148" s="0" t="str">
        <f aca="false">_xlfn.XLOOKUP(C148,Departments!$A$2:$A$6,Departments!$B$2:$B$6,"Unknown")</f>
        <v>Quality</v>
      </c>
    </row>
    <row r="149" customFormat="false" ht="15" hidden="false" customHeight="false" outlineLevel="0" collapsed="false">
      <c r="A149" s="0" t="s">
        <v>176</v>
      </c>
      <c r="B149" s="4" t="n">
        <v>45806</v>
      </c>
      <c r="C149" s="0" t="s">
        <v>27</v>
      </c>
      <c r="D149" s="3" t="s">
        <v>21</v>
      </c>
      <c r="E149" s="2" t="n">
        <v>576</v>
      </c>
      <c r="F149" s="5" t="n">
        <f aca="false">VLOOKUP(D149,Lookup!$A$2:$B$4,2,FALSE())</f>
        <v>0.1</v>
      </c>
      <c r="G149" s="2" t="n">
        <f aca="false">ROUND(E149*F149,2)</f>
        <v>57.6</v>
      </c>
      <c r="H149" s="2" t="n">
        <f aca="false">E149+G149</f>
        <v>633.6</v>
      </c>
      <c r="I149" s="3" t="s">
        <v>22</v>
      </c>
      <c r="J149" s="0" t="str">
        <f aca="false">_xlfn.XLOOKUP(C149,Departments!$A$2:$A$6,Departments!$B$2:$B$6,"Unknown")</f>
        <v>Human Resources</v>
      </c>
    </row>
    <row r="150" customFormat="false" ht="15" hidden="false" customHeight="false" outlineLevel="0" collapsed="false">
      <c r="A150" s="0" t="s">
        <v>177</v>
      </c>
      <c r="B150" s="4" t="n">
        <v>45807</v>
      </c>
      <c r="C150" s="0" t="s">
        <v>30</v>
      </c>
      <c r="D150" s="3" t="s">
        <v>25</v>
      </c>
      <c r="E150" s="2" t="n">
        <v>613</v>
      </c>
      <c r="F150" s="5" t="n">
        <f aca="false">VLOOKUP(D150,Lookup!$A$2:$B$4,2,FALSE())</f>
        <v>0.15</v>
      </c>
      <c r="G150" s="2" t="n">
        <f aca="false">ROUND(E150*F150,2)</f>
        <v>91.95</v>
      </c>
      <c r="H150" s="2" t="n">
        <f aca="false">E150+G150</f>
        <v>704.95</v>
      </c>
      <c r="I150" s="3" t="s">
        <v>22</v>
      </c>
      <c r="J150" s="0" t="str">
        <f aca="false">_xlfn.XLOOKUP(C150,Departments!$A$2:$A$6,Departments!$B$2:$B$6,"Unknown")</f>
        <v>Technology</v>
      </c>
    </row>
    <row r="151" customFormat="false" ht="15" hidden="false" customHeight="false" outlineLevel="0" collapsed="false">
      <c r="A151" s="0" t="s">
        <v>178</v>
      </c>
      <c r="B151" s="4" t="n">
        <v>45808</v>
      </c>
      <c r="C151" s="0" t="s">
        <v>32</v>
      </c>
      <c r="D151" s="3" t="s">
        <v>28</v>
      </c>
      <c r="E151" s="2" t="n">
        <v>650</v>
      </c>
      <c r="F151" s="5" t="n">
        <f aca="false">VLOOKUP(D151,Lookup!$A$2:$B$4,2,FALSE())</f>
        <v>0.05</v>
      </c>
      <c r="G151" s="2" t="n">
        <f aca="false">ROUND(E151*F151,2)</f>
        <v>32.5</v>
      </c>
      <c r="H151" s="2" t="n">
        <f aca="false">E151+G151</f>
        <v>682.5</v>
      </c>
      <c r="I151" s="3" t="s">
        <v>22</v>
      </c>
      <c r="J151" s="0" t="str">
        <f aca="false">_xlfn.XLOOKUP(C151,Departments!$A$2:$A$6,Departments!$B$2:$B$6,"Unknown")</f>
        <v>Operations</v>
      </c>
    </row>
    <row r="152" customFormat="false" ht="15" hidden="false" customHeight="false" outlineLevel="0" collapsed="false">
      <c r="A152" s="0" t="s">
        <v>179</v>
      </c>
      <c r="B152" s="4" t="n">
        <v>45809</v>
      </c>
      <c r="C152" s="0" t="s">
        <v>20</v>
      </c>
      <c r="D152" s="3" t="s">
        <v>21</v>
      </c>
      <c r="E152" s="2" t="n">
        <v>687</v>
      </c>
      <c r="F152" s="5" t="n">
        <f aca="false">VLOOKUP(D152,Lookup!$A$2:$B$4,2,FALSE())</f>
        <v>0.1</v>
      </c>
      <c r="G152" s="2" t="n">
        <f aca="false">ROUND(E152*F152,2)</f>
        <v>68.7</v>
      </c>
      <c r="H152" s="2" t="n">
        <f aca="false">E152+G152</f>
        <v>755.7</v>
      </c>
      <c r="I152" s="3" t="s">
        <v>22</v>
      </c>
      <c r="J152" s="0" t="str">
        <f aca="false">_xlfn.XLOOKUP(C152,Departments!$A$2:$A$6,Departments!$B$2:$B$6,"Unknown")</f>
        <v>Finance</v>
      </c>
    </row>
    <row r="153" customFormat="false" ht="15" hidden="false" customHeight="false" outlineLevel="0" collapsed="false">
      <c r="A153" s="0" t="s">
        <v>180</v>
      </c>
      <c r="B153" s="4" t="n">
        <v>45810</v>
      </c>
      <c r="C153" s="0" t="s">
        <v>24</v>
      </c>
      <c r="D153" s="3" t="s">
        <v>25</v>
      </c>
      <c r="E153" s="2" t="n">
        <v>724</v>
      </c>
      <c r="F153" s="5" t="n">
        <f aca="false">VLOOKUP(D153,Lookup!$A$2:$B$4,2,FALSE())</f>
        <v>0.15</v>
      </c>
      <c r="G153" s="2" t="n">
        <f aca="false">ROUND(E153*F153,2)</f>
        <v>108.6</v>
      </c>
      <c r="H153" s="2" t="n">
        <f aca="false">E153+G153</f>
        <v>832.6</v>
      </c>
      <c r="I153" s="3" t="s">
        <v>22</v>
      </c>
      <c r="J153" s="0" t="str">
        <f aca="false">_xlfn.XLOOKUP(C153,Departments!$A$2:$A$6,Departments!$B$2:$B$6,"Unknown")</f>
        <v>Quality</v>
      </c>
    </row>
    <row r="154" customFormat="false" ht="15" hidden="false" customHeight="false" outlineLevel="0" collapsed="false">
      <c r="A154" s="0" t="s">
        <v>181</v>
      </c>
      <c r="B154" s="4" t="n">
        <v>45811</v>
      </c>
      <c r="C154" s="0" t="s">
        <v>27</v>
      </c>
      <c r="D154" s="3" t="s">
        <v>28</v>
      </c>
      <c r="E154" s="2" t="n">
        <v>761</v>
      </c>
      <c r="F154" s="5" t="n">
        <f aca="false">VLOOKUP(D154,Lookup!$A$2:$B$4,2,FALSE())</f>
        <v>0.05</v>
      </c>
      <c r="G154" s="2" t="n">
        <f aca="false">ROUND(E154*F154,2)</f>
        <v>38.05</v>
      </c>
      <c r="H154" s="2" t="n">
        <f aca="false">E154+G154</f>
        <v>799.05</v>
      </c>
      <c r="I154" s="3" t="s">
        <v>22</v>
      </c>
      <c r="J154" s="0" t="str">
        <f aca="false">_xlfn.XLOOKUP(C154,Departments!$A$2:$A$6,Departments!$B$2:$B$6,"Unknown")</f>
        <v>Human Resources</v>
      </c>
    </row>
    <row r="155" customFormat="false" ht="15" hidden="false" customHeight="false" outlineLevel="0" collapsed="false">
      <c r="A155" s="0" t="s">
        <v>182</v>
      </c>
      <c r="B155" s="4" t="n">
        <v>45812</v>
      </c>
      <c r="C155" s="0" t="s">
        <v>30</v>
      </c>
      <c r="D155" s="3" t="s">
        <v>21</v>
      </c>
      <c r="E155" s="2" t="n">
        <v>798</v>
      </c>
      <c r="F155" s="5" t="n">
        <f aca="false">VLOOKUP(D155,Lookup!$A$2:$B$4,2,FALSE())</f>
        <v>0.1</v>
      </c>
      <c r="G155" s="2" t="n">
        <f aca="false">ROUND(E155*F155,2)</f>
        <v>79.8</v>
      </c>
      <c r="H155" s="2" t="n">
        <f aca="false">E155+G155</f>
        <v>877.8</v>
      </c>
      <c r="I155" s="3" t="s">
        <v>35</v>
      </c>
      <c r="J155" s="0" t="str">
        <f aca="false">_xlfn.XLOOKUP(C155,Departments!$A$2:$A$6,Departments!$B$2:$B$6,"Unknown")</f>
        <v>Technology</v>
      </c>
    </row>
    <row r="156" customFormat="false" ht="15" hidden="false" customHeight="false" outlineLevel="0" collapsed="false">
      <c r="A156" s="0" t="s">
        <v>183</v>
      </c>
      <c r="B156" s="4" t="n">
        <v>45813</v>
      </c>
      <c r="C156" s="0" t="s">
        <v>32</v>
      </c>
      <c r="D156" s="3" t="s">
        <v>25</v>
      </c>
      <c r="E156" s="2" t="n">
        <v>835</v>
      </c>
      <c r="F156" s="5" t="n">
        <f aca="false">VLOOKUP(D156,Lookup!$A$2:$B$4,2,FALSE())</f>
        <v>0.15</v>
      </c>
      <c r="G156" s="2" t="n">
        <f aca="false">ROUND(E156*F156,2)</f>
        <v>125.25</v>
      </c>
      <c r="H156" s="2" t="n">
        <f aca="false">E156+G156</f>
        <v>960.25</v>
      </c>
      <c r="I156" s="3" t="s">
        <v>22</v>
      </c>
      <c r="J156" s="0" t="str">
        <f aca="false">_xlfn.XLOOKUP(C156,Departments!$A$2:$A$6,Departments!$B$2:$B$6,"Unknown")</f>
        <v>Operations</v>
      </c>
    </row>
    <row r="157" customFormat="false" ht="15" hidden="false" customHeight="false" outlineLevel="0" collapsed="false">
      <c r="A157" s="0" t="s">
        <v>184</v>
      </c>
      <c r="B157" s="4" t="n">
        <v>45814</v>
      </c>
      <c r="C157" s="0" t="s">
        <v>20</v>
      </c>
      <c r="D157" s="3" t="s">
        <v>28</v>
      </c>
      <c r="E157" s="2" t="n">
        <v>872</v>
      </c>
      <c r="F157" s="5" t="n">
        <f aca="false">VLOOKUP(D157,Lookup!$A$2:$B$4,2,FALSE())</f>
        <v>0.05</v>
      </c>
      <c r="G157" s="2" t="n">
        <f aca="false">ROUND(E157*F157,2)</f>
        <v>43.6</v>
      </c>
      <c r="H157" s="2" t="n">
        <f aca="false">E157+G157</f>
        <v>915.6</v>
      </c>
      <c r="I157" s="3" t="s">
        <v>22</v>
      </c>
      <c r="J157" s="0" t="str">
        <f aca="false">_xlfn.XLOOKUP(C157,Departments!$A$2:$A$6,Departments!$B$2:$B$6,"Unknown")</f>
        <v>Finance</v>
      </c>
    </row>
    <row r="158" customFormat="false" ht="15" hidden="false" customHeight="false" outlineLevel="0" collapsed="false">
      <c r="A158" s="0" t="s">
        <v>185</v>
      </c>
      <c r="B158" s="4" t="n">
        <v>45815</v>
      </c>
      <c r="C158" s="0" t="s">
        <v>24</v>
      </c>
      <c r="D158" s="3" t="s">
        <v>21</v>
      </c>
      <c r="E158" s="2" t="n">
        <v>909</v>
      </c>
      <c r="F158" s="5" t="n">
        <f aca="false">VLOOKUP(D158,Lookup!$A$2:$B$4,2,FALSE())</f>
        <v>0.1</v>
      </c>
      <c r="G158" s="2" t="n">
        <f aca="false">ROUND(E158*F158,2)</f>
        <v>90.9</v>
      </c>
      <c r="H158" s="2" t="n">
        <f aca="false">E158+G158</f>
        <v>999.9</v>
      </c>
      <c r="I158" s="3" t="s">
        <v>22</v>
      </c>
      <c r="J158" s="0" t="str">
        <f aca="false">_xlfn.XLOOKUP(C158,Departments!$A$2:$A$6,Departments!$B$2:$B$6,"Unknown")</f>
        <v>Quality</v>
      </c>
    </row>
    <row r="159" customFormat="false" ht="15" hidden="false" customHeight="false" outlineLevel="0" collapsed="false">
      <c r="A159" s="0" t="s">
        <v>186</v>
      </c>
      <c r="B159" s="4" t="n">
        <v>45816</v>
      </c>
      <c r="C159" s="0" t="s">
        <v>27</v>
      </c>
      <c r="D159" s="3" t="s">
        <v>25</v>
      </c>
      <c r="E159" s="2" t="n">
        <v>946</v>
      </c>
      <c r="F159" s="5" t="n">
        <f aca="false">VLOOKUP(D159,Lookup!$A$2:$B$4,2,FALSE())</f>
        <v>0.15</v>
      </c>
      <c r="G159" s="2" t="n">
        <f aca="false">ROUND(E159*F159,2)</f>
        <v>141.9</v>
      </c>
      <c r="H159" s="2" t="n">
        <f aca="false">E159+G159</f>
        <v>1087.9</v>
      </c>
      <c r="I159" s="3" t="s">
        <v>22</v>
      </c>
      <c r="J159" s="0" t="str">
        <f aca="false">_xlfn.XLOOKUP(C159,Departments!$A$2:$A$6,Departments!$B$2:$B$6,"Unknown")</f>
        <v>Human Resources</v>
      </c>
    </row>
    <row r="160" customFormat="false" ht="15" hidden="false" customHeight="false" outlineLevel="0" collapsed="false">
      <c r="A160" s="0" t="s">
        <v>187</v>
      </c>
      <c r="B160" s="4" t="n">
        <v>45817</v>
      </c>
      <c r="C160" s="0" t="s">
        <v>30</v>
      </c>
      <c r="D160" s="3" t="s">
        <v>28</v>
      </c>
      <c r="E160" s="2" t="n">
        <v>983</v>
      </c>
      <c r="F160" s="5" t="n">
        <f aca="false">VLOOKUP(D160,Lookup!$A$2:$B$4,2,FALSE())</f>
        <v>0.05</v>
      </c>
      <c r="G160" s="2" t="n">
        <f aca="false">ROUND(E160*F160,2)</f>
        <v>49.15</v>
      </c>
      <c r="H160" s="2" t="n">
        <f aca="false">E160+G160</f>
        <v>1032.15</v>
      </c>
      <c r="I160" s="3" t="s">
        <v>22</v>
      </c>
      <c r="J160" s="0" t="str">
        <f aca="false">_xlfn.XLOOKUP(C160,Departments!$A$2:$A$6,Departments!$B$2:$B$6,"Unknown")</f>
        <v>Technology</v>
      </c>
    </row>
    <row r="161" customFormat="false" ht="15" hidden="false" customHeight="false" outlineLevel="0" collapsed="false">
      <c r="A161" s="0" t="s">
        <v>188</v>
      </c>
      <c r="B161" s="4" t="n">
        <v>45818</v>
      </c>
      <c r="C161" s="0" t="s">
        <v>32</v>
      </c>
      <c r="D161" s="3" t="s">
        <v>21</v>
      </c>
      <c r="E161" s="2" t="n">
        <v>1020</v>
      </c>
      <c r="F161" s="5" t="n">
        <f aca="false">VLOOKUP(D161,Lookup!$A$2:$B$4,2,FALSE())</f>
        <v>0.1</v>
      </c>
      <c r="G161" s="2" t="n">
        <f aca="false">ROUND(E161*F161,2)</f>
        <v>102</v>
      </c>
      <c r="H161" s="2" t="n">
        <f aca="false">E161+G161</f>
        <v>1122</v>
      </c>
      <c r="I161" s="3" t="s">
        <v>22</v>
      </c>
      <c r="J161" s="0" t="str">
        <f aca="false">_xlfn.XLOOKUP(C161,Departments!$A$2:$A$6,Departments!$B$2:$B$6,"Unknown")</f>
        <v>Operations</v>
      </c>
    </row>
    <row r="162" customFormat="false" ht="15" hidden="false" customHeight="false" outlineLevel="0" collapsed="false">
      <c r="A162" s="0" t="s">
        <v>189</v>
      </c>
      <c r="B162" s="4" t="n">
        <v>45819</v>
      </c>
      <c r="C162" s="0" t="s">
        <v>20</v>
      </c>
      <c r="D162" s="3" t="s">
        <v>25</v>
      </c>
      <c r="E162" s="2" t="n">
        <v>1057</v>
      </c>
      <c r="F162" s="5" t="n">
        <f aca="false">VLOOKUP(D162,Lookup!$A$2:$B$4,2,FALSE())</f>
        <v>0.15</v>
      </c>
      <c r="G162" s="2" t="n">
        <f aca="false">ROUND(E162*F162,2)</f>
        <v>158.55</v>
      </c>
      <c r="H162" s="2" t="n">
        <f aca="false">E162+G162</f>
        <v>1215.55</v>
      </c>
      <c r="I162" s="3" t="s">
        <v>35</v>
      </c>
      <c r="J162" s="0" t="str">
        <f aca="false">_xlfn.XLOOKUP(C162,Departments!$A$2:$A$6,Departments!$B$2:$B$6,"Unknown")</f>
        <v>Finance</v>
      </c>
    </row>
    <row r="163" customFormat="false" ht="15" hidden="false" customHeight="false" outlineLevel="0" collapsed="false">
      <c r="A163" s="0" t="s">
        <v>190</v>
      </c>
      <c r="B163" s="4" t="n">
        <v>45820</v>
      </c>
      <c r="C163" s="0" t="s">
        <v>24</v>
      </c>
      <c r="D163" s="3" t="s">
        <v>28</v>
      </c>
      <c r="E163" s="2" t="n">
        <v>1094</v>
      </c>
      <c r="F163" s="5" t="n">
        <f aca="false">VLOOKUP(D163,Lookup!$A$2:$B$4,2,FALSE())</f>
        <v>0.05</v>
      </c>
      <c r="G163" s="2" t="n">
        <f aca="false">ROUND(E163*F163,2)</f>
        <v>54.7</v>
      </c>
      <c r="H163" s="2" t="n">
        <f aca="false">E163+G163</f>
        <v>1148.7</v>
      </c>
      <c r="I163" s="3" t="s">
        <v>22</v>
      </c>
      <c r="J163" s="0" t="str">
        <f aca="false">_xlfn.XLOOKUP(C163,Departments!$A$2:$A$6,Departments!$B$2:$B$6,"Unknown")</f>
        <v>Quality</v>
      </c>
    </row>
    <row r="164" customFormat="false" ht="15" hidden="false" customHeight="false" outlineLevel="0" collapsed="false">
      <c r="A164" s="0" t="s">
        <v>191</v>
      </c>
      <c r="B164" s="4" t="n">
        <v>45821</v>
      </c>
      <c r="C164" s="0" t="s">
        <v>27</v>
      </c>
      <c r="D164" s="3" t="s">
        <v>21</v>
      </c>
      <c r="E164" s="2" t="n">
        <v>1131</v>
      </c>
      <c r="F164" s="5" t="n">
        <f aca="false">VLOOKUP(D164,Lookup!$A$2:$B$4,2,FALSE())</f>
        <v>0.1</v>
      </c>
      <c r="G164" s="2" t="n">
        <f aca="false">ROUND(E164*F164,2)</f>
        <v>113.1</v>
      </c>
      <c r="H164" s="2" t="n">
        <f aca="false">E164+G164</f>
        <v>1244.1</v>
      </c>
      <c r="I164" s="3" t="s">
        <v>22</v>
      </c>
      <c r="J164" s="0" t="str">
        <f aca="false">_xlfn.XLOOKUP(C164,Departments!$A$2:$A$6,Departments!$B$2:$B$6,"Unknown")</f>
        <v>Human Resources</v>
      </c>
    </row>
    <row r="165" customFormat="false" ht="15" hidden="false" customHeight="false" outlineLevel="0" collapsed="false">
      <c r="A165" s="0" t="s">
        <v>192</v>
      </c>
      <c r="B165" s="4" t="n">
        <v>45822</v>
      </c>
      <c r="C165" s="0" t="s">
        <v>30</v>
      </c>
      <c r="D165" s="3" t="s">
        <v>25</v>
      </c>
      <c r="E165" s="2" t="n">
        <v>1168</v>
      </c>
      <c r="F165" s="5" t="n">
        <f aca="false">VLOOKUP(D165,Lookup!$A$2:$B$4,2,FALSE())</f>
        <v>0.15</v>
      </c>
      <c r="G165" s="2" t="n">
        <f aca="false">ROUND(E165*F165,2)</f>
        <v>175.2</v>
      </c>
      <c r="H165" s="2" t="n">
        <f aca="false">E165+G165</f>
        <v>1343.2</v>
      </c>
      <c r="I165" s="3" t="s">
        <v>22</v>
      </c>
      <c r="J165" s="0" t="str">
        <f aca="false">_xlfn.XLOOKUP(C165,Departments!$A$2:$A$6,Departments!$B$2:$B$6,"Unknown")</f>
        <v>Technology</v>
      </c>
    </row>
    <row r="166" customFormat="false" ht="15" hidden="false" customHeight="false" outlineLevel="0" collapsed="false">
      <c r="A166" s="0" t="s">
        <v>193</v>
      </c>
      <c r="B166" s="4" t="n">
        <v>45823</v>
      </c>
      <c r="C166" s="0" t="s">
        <v>32</v>
      </c>
      <c r="D166" s="3" t="s">
        <v>28</v>
      </c>
      <c r="E166" s="2" t="n">
        <v>1205</v>
      </c>
      <c r="F166" s="5" t="n">
        <f aca="false">VLOOKUP(D166,Lookup!$A$2:$B$4,2,FALSE())</f>
        <v>0.05</v>
      </c>
      <c r="G166" s="2" t="n">
        <f aca="false">ROUND(E166*F166,2)</f>
        <v>60.25</v>
      </c>
      <c r="H166" s="2" t="n">
        <f aca="false">E166+G166</f>
        <v>1265.25</v>
      </c>
      <c r="I166" s="3" t="s">
        <v>22</v>
      </c>
      <c r="J166" s="0" t="str">
        <f aca="false">_xlfn.XLOOKUP(C166,Departments!$A$2:$A$6,Departments!$B$2:$B$6,"Unknown")</f>
        <v>Operations</v>
      </c>
    </row>
    <row r="167" customFormat="false" ht="15" hidden="false" customHeight="false" outlineLevel="0" collapsed="false">
      <c r="A167" s="0" t="s">
        <v>194</v>
      </c>
      <c r="B167" s="4" t="n">
        <v>45824</v>
      </c>
      <c r="C167" s="0" t="s">
        <v>20</v>
      </c>
      <c r="D167" s="3" t="s">
        <v>21</v>
      </c>
      <c r="E167" s="2" t="n">
        <v>1242</v>
      </c>
      <c r="F167" s="5" t="n">
        <f aca="false">VLOOKUP(D167,Lookup!$A$2:$B$4,2,FALSE())</f>
        <v>0.1</v>
      </c>
      <c r="G167" s="2" t="n">
        <f aca="false">ROUND(E167*F167,2)</f>
        <v>124.2</v>
      </c>
      <c r="H167" s="2" t="n">
        <f aca="false">E167+G167</f>
        <v>1366.2</v>
      </c>
      <c r="I167" s="3" t="s">
        <v>22</v>
      </c>
      <c r="J167" s="0" t="str">
        <f aca="false">_xlfn.XLOOKUP(C167,Departments!$A$2:$A$6,Departments!$B$2:$B$6,"Unknown")</f>
        <v>Finance</v>
      </c>
    </row>
    <row r="168" customFormat="false" ht="15" hidden="false" customHeight="false" outlineLevel="0" collapsed="false">
      <c r="A168" s="0" t="s">
        <v>195</v>
      </c>
      <c r="B168" s="4" t="n">
        <v>45825</v>
      </c>
      <c r="C168" s="0" t="s">
        <v>24</v>
      </c>
      <c r="D168" s="3" t="s">
        <v>25</v>
      </c>
      <c r="E168" s="2" t="n">
        <v>1279</v>
      </c>
      <c r="F168" s="5" t="n">
        <f aca="false">VLOOKUP(D168,Lookup!$A$2:$B$4,2,FALSE())</f>
        <v>0.15</v>
      </c>
      <c r="G168" s="2" t="n">
        <f aca="false">ROUND(E168*F168,2)</f>
        <v>191.85</v>
      </c>
      <c r="H168" s="2" t="n">
        <f aca="false">E168+G168</f>
        <v>1470.85</v>
      </c>
      <c r="I168" s="3" t="s">
        <v>22</v>
      </c>
      <c r="J168" s="0" t="str">
        <f aca="false">_xlfn.XLOOKUP(C168,Departments!$A$2:$A$6,Departments!$B$2:$B$6,"Unknown")</f>
        <v>Quality</v>
      </c>
    </row>
    <row r="169" customFormat="false" ht="15" hidden="false" customHeight="false" outlineLevel="0" collapsed="false">
      <c r="A169" s="0" t="s">
        <v>196</v>
      </c>
      <c r="B169" s="4" t="n">
        <v>45826</v>
      </c>
      <c r="C169" s="0" t="s">
        <v>27</v>
      </c>
      <c r="D169" s="3" t="s">
        <v>28</v>
      </c>
      <c r="E169" s="2" t="n">
        <v>1316</v>
      </c>
      <c r="F169" s="5" t="n">
        <f aca="false">VLOOKUP(D169,Lookup!$A$2:$B$4,2,FALSE())</f>
        <v>0.05</v>
      </c>
      <c r="G169" s="2" t="n">
        <f aca="false">ROUND(E169*F169,2)</f>
        <v>65.8</v>
      </c>
      <c r="H169" s="2" t="n">
        <f aca="false">E169+G169</f>
        <v>1381.8</v>
      </c>
      <c r="I169" s="3" t="s">
        <v>35</v>
      </c>
      <c r="J169" s="0" t="str">
        <f aca="false">_xlfn.XLOOKUP(C169,Departments!$A$2:$A$6,Departments!$B$2:$B$6,"Unknown")</f>
        <v>Human Resources</v>
      </c>
    </row>
    <row r="170" customFormat="false" ht="15" hidden="false" customHeight="false" outlineLevel="0" collapsed="false">
      <c r="A170" s="0" t="s">
        <v>197</v>
      </c>
      <c r="B170" s="4" t="n">
        <v>45827</v>
      </c>
      <c r="C170" s="0" t="s">
        <v>30</v>
      </c>
      <c r="D170" s="3" t="s">
        <v>21</v>
      </c>
      <c r="E170" s="2" t="n">
        <v>1353</v>
      </c>
      <c r="F170" s="5" t="n">
        <f aca="false">VLOOKUP(D170,Lookup!$A$2:$B$4,2,FALSE())</f>
        <v>0.1</v>
      </c>
      <c r="G170" s="2" t="n">
        <f aca="false">ROUND(E170*F170,2)</f>
        <v>135.3</v>
      </c>
      <c r="H170" s="2" t="n">
        <f aca="false">E170+G170</f>
        <v>1488.3</v>
      </c>
      <c r="I170" s="3" t="s">
        <v>22</v>
      </c>
      <c r="J170" s="0" t="str">
        <f aca="false">_xlfn.XLOOKUP(C170,Departments!$A$2:$A$6,Departments!$B$2:$B$6,"Unknown")</f>
        <v>Technology</v>
      </c>
    </row>
    <row r="171" customFormat="false" ht="15" hidden="false" customHeight="false" outlineLevel="0" collapsed="false">
      <c r="A171" s="0" t="s">
        <v>198</v>
      </c>
      <c r="B171" s="4" t="n">
        <v>45828</v>
      </c>
      <c r="C171" s="0" t="s">
        <v>32</v>
      </c>
      <c r="D171" s="3" t="s">
        <v>25</v>
      </c>
      <c r="E171" s="2" t="n">
        <v>1390</v>
      </c>
      <c r="F171" s="5" t="n">
        <f aca="false">VLOOKUP(D171,Lookup!$A$2:$B$4,2,FALSE())</f>
        <v>0.15</v>
      </c>
      <c r="G171" s="2" t="n">
        <f aca="false">ROUND(E171*F171,2)</f>
        <v>208.5</v>
      </c>
      <c r="H171" s="2" t="n">
        <f aca="false">E171+G171</f>
        <v>1598.5</v>
      </c>
      <c r="I171" s="3" t="s">
        <v>22</v>
      </c>
      <c r="J171" s="0" t="str">
        <f aca="false">_xlfn.XLOOKUP(C171,Departments!$A$2:$A$6,Departments!$B$2:$B$6,"Unknown")</f>
        <v>Operations</v>
      </c>
    </row>
    <row r="172" customFormat="false" ht="15" hidden="false" customHeight="false" outlineLevel="0" collapsed="false">
      <c r="A172" s="0" t="s">
        <v>199</v>
      </c>
      <c r="B172" s="4" t="n">
        <v>45829</v>
      </c>
      <c r="C172" s="0" t="s">
        <v>20</v>
      </c>
      <c r="D172" s="3" t="s">
        <v>28</v>
      </c>
      <c r="E172" s="2" t="n">
        <v>1427</v>
      </c>
      <c r="F172" s="5" t="n">
        <f aca="false">VLOOKUP(D172,Lookup!$A$2:$B$4,2,FALSE())</f>
        <v>0.05</v>
      </c>
      <c r="G172" s="2" t="n">
        <f aca="false">ROUND(E172*F172,2)</f>
        <v>71.35</v>
      </c>
      <c r="H172" s="2" t="n">
        <f aca="false">E172+G172</f>
        <v>1498.35</v>
      </c>
      <c r="I172" s="3" t="s">
        <v>22</v>
      </c>
      <c r="J172" s="0" t="str">
        <f aca="false">_xlfn.XLOOKUP(C172,Departments!$A$2:$A$6,Departments!$B$2:$B$6,"Unknown")</f>
        <v>Finance</v>
      </c>
    </row>
    <row r="173" customFormat="false" ht="15" hidden="false" customHeight="false" outlineLevel="0" collapsed="false">
      <c r="A173" s="0" t="s">
        <v>200</v>
      </c>
      <c r="B173" s="4" t="n">
        <v>45830</v>
      </c>
      <c r="C173" s="0" t="s">
        <v>24</v>
      </c>
      <c r="D173" s="3" t="s">
        <v>21</v>
      </c>
      <c r="E173" s="2" t="n">
        <v>1464</v>
      </c>
      <c r="F173" s="5" t="n">
        <f aca="false">VLOOKUP(D173,Lookup!$A$2:$B$4,2,FALSE())</f>
        <v>0.1</v>
      </c>
      <c r="G173" s="2" t="n">
        <f aca="false">ROUND(E173*F173,2)</f>
        <v>146.4</v>
      </c>
      <c r="H173" s="2" t="n">
        <f aca="false">E173+G173</f>
        <v>1610.4</v>
      </c>
      <c r="I173" s="3" t="s">
        <v>22</v>
      </c>
      <c r="J173" s="0" t="str">
        <f aca="false">_xlfn.XLOOKUP(C173,Departments!$A$2:$A$6,Departments!$B$2:$B$6,"Unknown")</f>
        <v>Quality</v>
      </c>
    </row>
    <row r="174" customFormat="false" ht="15" hidden="false" customHeight="false" outlineLevel="0" collapsed="false">
      <c r="A174" s="0" t="s">
        <v>201</v>
      </c>
      <c r="B174" s="4" t="n">
        <v>45831</v>
      </c>
      <c r="C174" s="0" t="s">
        <v>27</v>
      </c>
      <c r="D174" s="3" t="s">
        <v>25</v>
      </c>
      <c r="E174" s="2" t="n">
        <v>1501</v>
      </c>
      <c r="F174" s="5" t="n">
        <f aca="false">VLOOKUP(D174,Lookup!$A$2:$B$4,2,FALSE())</f>
        <v>0.15</v>
      </c>
      <c r="G174" s="2" t="n">
        <f aca="false">ROUND(E174*F174,2)</f>
        <v>225.15</v>
      </c>
      <c r="H174" s="2" t="n">
        <f aca="false">E174+G174</f>
        <v>1726.15</v>
      </c>
      <c r="I174" s="3" t="s">
        <v>22</v>
      </c>
      <c r="J174" s="0" t="str">
        <f aca="false">_xlfn.XLOOKUP(C174,Departments!$A$2:$A$6,Departments!$B$2:$B$6,"Unknown")</f>
        <v>Human Resources</v>
      </c>
    </row>
    <row r="175" customFormat="false" ht="15" hidden="false" customHeight="false" outlineLevel="0" collapsed="false">
      <c r="A175" s="0" t="s">
        <v>202</v>
      </c>
      <c r="B175" s="4" t="n">
        <v>45832</v>
      </c>
      <c r="C175" s="0" t="s">
        <v>30</v>
      </c>
      <c r="D175" s="3" t="s">
        <v>28</v>
      </c>
      <c r="E175" s="2" t="n">
        <v>1538</v>
      </c>
      <c r="F175" s="5" t="n">
        <f aca="false">VLOOKUP(D175,Lookup!$A$2:$B$4,2,FALSE())</f>
        <v>0.05</v>
      </c>
      <c r="G175" s="2" t="n">
        <f aca="false">ROUND(E175*F175,2)</f>
        <v>76.9</v>
      </c>
      <c r="H175" s="2" t="n">
        <f aca="false">E175+G175</f>
        <v>1614.9</v>
      </c>
      <c r="I175" s="3" t="s">
        <v>22</v>
      </c>
      <c r="J175" s="0" t="str">
        <f aca="false">_xlfn.XLOOKUP(C175,Departments!$A$2:$A$6,Departments!$B$2:$B$6,"Unknown")</f>
        <v>Technology</v>
      </c>
    </row>
    <row r="176" customFormat="false" ht="15" hidden="false" customHeight="false" outlineLevel="0" collapsed="false">
      <c r="A176" s="0" t="s">
        <v>203</v>
      </c>
      <c r="B176" s="4" t="n">
        <v>45833</v>
      </c>
      <c r="C176" s="0" t="s">
        <v>32</v>
      </c>
      <c r="D176" s="3" t="s">
        <v>21</v>
      </c>
      <c r="E176" s="2" t="n">
        <v>1575</v>
      </c>
      <c r="F176" s="5" t="n">
        <f aca="false">VLOOKUP(D176,Lookup!$A$2:$B$4,2,FALSE())</f>
        <v>0.1</v>
      </c>
      <c r="G176" s="2" t="n">
        <f aca="false">ROUND(E176*F176,2)</f>
        <v>157.5</v>
      </c>
      <c r="H176" s="2" t="n">
        <f aca="false">E176+G176</f>
        <v>1732.5</v>
      </c>
      <c r="I176" s="3" t="s">
        <v>35</v>
      </c>
      <c r="J176" s="0" t="str">
        <f aca="false">_xlfn.XLOOKUP(C176,Departments!$A$2:$A$6,Departments!$B$2:$B$6,"Unknown")</f>
        <v>Operations</v>
      </c>
    </row>
    <row r="177" customFormat="false" ht="15" hidden="false" customHeight="false" outlineLevel="0" collapsed="false">
      <c r="A177" s="0" t="s">
        <v>204</v>
      </c>
      <c r="B177" s="4" t="n">
        <v>45834</v>
      </c>
      <c r="C177" s="0" t="s">
        <v>20</v>
      </c>
      <c r="D177" s="3" t="s">
        <v>25</v>
      </c>
      <c r="E177" s="2" t="n">
        <v>1612</v>
      </c>
      <c r="F177" s="5" t="n">
        <f aca="false">VLOOKUP(D177,Lookup!$A$2:$B$4,2,FALSE())</f>
        <v>0.15</v>
      </c>
      <c r="G177" s="2" t="n">
        <f aca="false">ROUND(E177*F177,2)</f>
        <v>241.8</v>
      </c>
      <c r="H177" s="2" t="n">
        <f aca="false">E177+G177</f>
        <v>1853.8</v>
      </c>
      <c r="I177" s="3" t="s">
        <v>22</v>
      </c>
      <c r="J177" s="0" t="str">
        <f aca="false">_xlfn.XLOOKUP(C177,Departments!$A$2:$A$6,Departments!$B$2:$B$6,"Unknown")</f>
        <v>Finance</v>
      </c>
    </row>
    <row r="178" customFormat="false" ht="15" hidden="false" customHeight="false" outlineLevel="0" collapsed="false">
      <c r="A178" s="0" t="s">
        <v>205</v>
      </c>
      <c r="B178" s="4" t="n">
        <v>45835</v>
      </c>
      <c r="C178" s="0" t="s">
        <v>24</v>
      </c>
      <c r="D178" s="3" t="s">
        <v>28</v>
      </c>
      <c r="E178" s="2" t="n">
        <v>1649</v>
      </c>
      <c r="F178" s="5" t="n">
        <f aca="false">VLOOKUP(D178,Lookup!$A$2:$B$4,2,FALSE())</f>
        <v>0.05</v>
      </c>
      <c r="G178" s="2" t="n">
        <f aca="false">ROUND(E178*F178,2)</f>
        <v>82.45</v>
      </c>
      <c r="H178" s="2" t="n">
        <f aca="false">E178+G178</f>
        <v>1731.45</v>
      </c>
      <c r="I178" s="3" t="s">
        <v>22</v>
      </c>
      <c r="J178" s="0" t="str">
        <f aca="false">_xlfn.XLOOKUP(C178,Departments!$A$2:$A$6,Departments!$B$2:$B$6,"Unknown")</f>
        <v>Quality</v>
      </c>
    </row>
    <row r="179" customFormat="false" ht="15" hidden="false" customHeight="false" outlineLevel="0" collapsed="false">
      <c r="A179" s="0" t="s">
        <v>206</v>
      </c>
      <c r="B179" s="4" t="n">
        <v>45836</v>
      </c>
      <c r="C179" s="0" t="s">
        <v>27</v>
      </c>
      <c r="D179" s="3" t="s">
        <v>21</v>
      </c>
      <c r="E179" s="2" t="n">
        <v>1686</v>
      </c>
      <c r="F179" s="5" t="n">
        <f aca="false">VLOOKUP(D179,Lookup!$A$2:$B$4,2,FALSE())</f>
        <v>0.1</v>
      </c>
      <c r="G179" s="2" t="n">
        <f aca="false">ROUND(E179*F179,2)</f>
        <v>168.6</v>
      </c>
      <c r="H179" s="2" t="n">
        <f aca="false">E179+G179</f>
        <v>1854.6</v>
      </c>
      <c r="I179" s="3" t="s">
        <v>22</v>
      </c>
      <c r="J179" s="0" t="str">
        <f aca="false">_xlfn.XLOOKUP(C179,Departments!$A$2:$A$6,Departments!$B$2:$B$6,"Unknown")</f>
        <v>Human Resources</v>
      </c>
    </row>
    <row r="180" customFormat="false" ht="15" hidden="false" customHeight="false" outlineLevel="0" collapsed="false">
      <c r="A180" s="0" t="s">
        <v>207</v>
      </c>
      <c r="B180" s="4" t="n">
        <v>45837</v>
      </c>
      <c r="C180" s="0" t="s">
        <v>30</v>
      </c>
      <c r="D180" s="3" t="s">
        <v>25</v>
      </c>
      <c r="E180" s="2" t="n">
        <v>1723</v>
      </c>
      <c r="F180" s="5" t="n">
        <f aca="false">VLOOKUP(D180,Lookup!$A$2:$B$4,2,FALSE())</f>
        <v>0.15</v>
      </c>
      <c r="G180" s="2" t="n">
        <f aca="false">ROUND(E180*F180,2)</f>
        <v>258.45</v>
      </c>
      <c r="H180" s="2" t="n">
        <f aca="false">E180+G180</f>
        <v>1981.45</v>
      </c>
      <c r="I180" s="3" t="s">
        <v>22</v>
      </c>
      <c r="J180" s="0" t="str">
        <f aca="false">_xlfn.XLOOKUP(C180,Departments!$A$2:$A$6,Departments!$B$2:$B$6,"Unknown")</f>
        <v>Technology</v>
      </c>
    </row>
    <row r="181" customFormat="false" ht="15" hidden="false" customHeight="false" outlineLevel="0" collapsed="false">
      <c r="A181" s="0" t="s">
        <v>208</v>
      </c>
      <c r="B181" s="4" t="n">
        <v>45838</v>
      </c>
      <c r="C181" s="0" t="s">
        <v>32</v>
      </c>
      <c r="D181" s="3" t="s">
        <v>28</v>
      </c>
      <c r="E181" s="2" t="n">
        <v>1760</v>
      </c>
      <c r="F181" s="5" t="n">
        <f aca="false">VLOOKUP(D181,Lookup!$A$2:$B$4,2,FALSE())</f>
        <v>0.05</v>
      </c>
      <c r="G181" s="2" t="n">
        <f aca="false">ROUND(E181*F181,2)</f>
        <v>88</v>
      </c>
      <c r="H181" s="2" t="n">
        <f aca="false">E181+G181</f>
        <v>1848</v>
      </c>
      <c r="I181" s="3" t="s">
        <v>22</v>
      </c>
      <c r="J181" s="0" t="str">
        <f aca="false">_xlfn.XLOOKUP(C181,Departments!$A$2:$A$6,Departments!$B$2:$B$6,"Unknown")</f>
        <v>Operations</v>
      </c>
    </row>
    <row r="182" customFormat="false" ht="15" hidden="false" customHeight="false" outlineLevel="0" collapsed="false">
      <c r="A182" s="0" t="s">
        <v>209</v>
      </c>
      <c r="B182" s="4" t="n">
        <v>45839</v>
      </c>
      <c r="C182" s="0" t="s">
        <v>20</v>
      </c>
      <c r="D182" s="3" t="s">
        <v>21</v>
      </c>
      <c r="E182" s="2" t="n">
        <v>1797</v>
      </c>
      <c r="F182" s="5" t="n">
        <f aca="false">VLOOKUP(D182,Lookup!$A$2:$B$4,2,FALSE())</f>
        <v>0.1</v>
      </c>
      <c r="G182" s="2" t="n">
        <f aca="false">ROUND(E182*F182,2)</f>
        <v>179.7</v>
      </c>
      <c r="H182" s="2" t="n">
        <f aca="false">E182+G182</f>
        <v>1976.7</v>
      </c>
      <c r="I182" s="3" t="s">
        <v>22</v>
      </c>
      <c r="J182" s="0" t="str">
        <f aca="false">_xlfn.XLOOKUP(C182,Departments!$A$2:$A$6,Departments!$B$2:$B$6,"Unknown")</f>
        <v>Finance</v>
      </c>
    </row>
    <row r="183" customFormat="false" ht="15" hidden="false" customHeight="false" outlineLevel="0" collapsed="false">
      <c r="A183" s="0" t="s">
        <v>210</v>
      </c>
      <c r="B183" s="4" t="n">
        <v>45840</v>
      </c>
      <c r="C183" s="0" t="s">
        <v>24</v>
      </c>
      <c r="D183" s="3" t="s">
        <v>25</v>
      </c>
      <c r="E183" s="2" t="n">
        <v>1834</v>
      </c>
      <c r="F183" s="5" t="n">
        <f aca="false">VLOOKUP(D183,Lookup!$A$2:$B$4,2,FALSE())</f>
        <v>0.15</v>
      </c>
      <c r="G183" s="2" t="n">
        <f aca="false">ROUND(E183*F183,2)</f>
        <v>275.1</v>
      </c>
      <c r="H183" s="2" t="n">
        <f aca="false">E183+G183</f>
        <v>2109.1</v>
      </c>
      <c r="I183" s="3" t="s">
        <v>35</v>
      </c>
      <c r="J183" s="0" t="str">
        <f aca="false">_xlfn.XLOOKUP(C183,Departments!$A$2:$A$6,Departments!$B$2:$B$6,"Unknown")</f>
        <v>Quality</v>
      </c>
    </row>
    <row r="184" customFormat="false" ht="15" hidden="false" customHeight="false" outlineLevel="0" collapsed="false">
      <c r="A184" s="0" t="s">
        <v>211</v>
      </c>
      <c r="B184" s="4" t="n">
        <v>45841</v>
      </c>
      <c r="C184" s="0" t="s">
        <v>27</v>
      </c>
      <c r="D184" s="3" t="s">
        <v>28</v>
      </c>
      <c r="E184" s="2" t="n">
        <v>1871</v>
      </c>
      <c r="F184" s="5" t="n">
        <f aca="false">VLOOKUP(D184,Lookup!$A$2:$B$4,2,FALSE())</f>
        <v>0.05</v>
      </c>
      <c r="G184" s="2" t="n">
        <f aca="false">ROUND(E184*F184,2)</f>
        <v>93.55</v>
      </c>
      <c r="H184" s="2" t="n">
        <f aca="false">E184+G184</f>
        <v>1964.55</v>
      </c>
      <c r="I184" s="3" t="s">
        <v>22</v>
      </c>
      <c r="J184" s="0" t="str">
        <f aca="false">_xlfn.XLOOKUP(C184,Departments!$A$2:$A$6,Departments!$B$2:$B$6,"Unknown")</f>
        <v>Human Resources</v>
      </c>
    </row>
    <row r="185" customFormat="false" ht="15" hidden="false" customHeight="false" outlineLevel="0" collapsed="false">
      <c r="A185" s="0" t="s">
        <v>212</v>
      </c>
      <c r="B185" s="4" t="n">
        <v>45842</v>
      </c>
      <c r="C185" s="0" t="s">
        <v>30</v>
      </c>
      <c r="D185" s="3" t="s">
        <v>21</v>
      </c>
      <c r="E185" s="2" t="n">
        <v>1908</v>
      </c>
      <c r="F185" s="5" t="n">
        <f aca="false">VLOOKUP(D185,Lookup!$A$2:$B$4,2,FALSE())</f>
        <v>0.1</v>
      </c>
      <c r="G185" s="2" t="n">
        <f aca="false">ROUND(E185*F185,2)</f>
        <v>190.8</v>
      </c>
      <c r="H185" s="2" t="n">
        <f aca="false">E185+G185</f>
        <v>2098.8</v>
      </c>
      <c r="I185" s="3" t="s">
        <v>22</v>
      </c>
      <c r="J185" s="0" t="str">
        <f aca="false">_xlfn.XLOOKUP(C185,Departments!$A$2:$A$6,Departments!$B$2:$B$6,"Unknown")</f>
        <v>Technology</v>
      </c>
    </row>
    <row r="186" customFormat="false" ht="15" hidden="false" customHeight="false" outlineLevel="0" collapsed="false">
      <c r="A186" s="0" t="s">
        <v>213</v>
      </c>
      <c r="B186" s="4" t="n">
        <v>45843</v>
      </c>
      <c r="C186" s="0" t="s">
        <v>32</v>
      </c>
      <c r="D186" s="3" t="s">
        <v>25</v>
      </c>
      <c r="E186" s="2" t="n">
        <v>1945</v>
      </c>
      <c r="F186" s="5" t="n">
        <f aca="false">VLOOKUP(D186,Lookup!$A$2:$B$4,2,FALSE())</f>
        <v>0.15</v>
      </c>
      <c r="G186" s="2" t="n">
        <f aca="false">ROUND(E186*F186,2)</f>
        <v>291.75</v>
      </c>
      <c r="H186" s="2" t="n">
        <f aca="false">E186+G186</f>
        <v>2236.75</v>
      </c>
      <c r="I186" s="3" t="s">
        <v>22</v>
      </c>
      <c r="J186" s="0" t="str">
        <f aca="false">_xlfn.XLOOKUP(C186,Departments!$A$2:$A$6,Departments!$B$2:$B$6,"Unknown")</f>
        <v>Operations</v>
      </c>
    </row>
    <row r="187" customFormat="false" ht="15" hidden="false" customHeight="false" outlineLevel="0" collapsed="false">
      <c r="A187" s="0" t="s">
        <v>214</v>
      </c>
      <c r="B187" s="4" t="n">
        <v>45844</v>
      </c>
      <c r="C187" s="0" t="s">
        <v>20</v>
      </c>
      <c r="D187" s="3" t="s">
        <v>28</v>
      </c>
      <c r="E187" s="2" t="n">
        <v>1982</v>
      </c>
      <c r="F187" s="5" t="n">
        <f aca="false">VLOOKUP(D187,Lookup!$A$2:$B$4,2,FALSE())</f>
        <v>0.05</v>
      </c>
      <c r="G187" s="2" t="n">
        <f aca="false">ROUND(E187*F187,2)</f>
        <v>99.1</v>
      </c>
      <c r="H187" s="2" t="n">
        <f aca="false">E187+G187</f>
        <v>2081.1</v>
      </c>
      <c r="I187" s="3" t="s">
        <v>22</v>
      </c>
      <c r="J187" s="0" t="str">
        <f aca="false">_xlfn.XLOOKUP(C187,Departments!$A$2:$A$6,Departments!$B$2:$B$6,"Unknown")</f>
        <v>Finance</v>
      </c>
    </row>
    <row r="188" customFormat="false" ht="15" hidden="false" customHeight="false" outlineLevel="0" collapsed="false">
      <c r="A188" s="0" t="s">
        <v>215</v>
      </c>
      <c r="B188" s="4" t="n">
        <v>45845</v>
      </c>
      <c r="C188" s="0" t="s">
        <v>24</v>
      </c>
      <c r="D188" s="3" t="s">
        <v>21</v>
      </c>
      <c r="E188" s="2" t="n">
        <v>2019</v>
      </c>
      <c r="F188" s="5" t="n">
        <f aca="false">VLOOKUP(D188,Lookup!$A$2:$B$4,2,FALSE())</f>
        <v>0.1</v>
      </c>
      <c r="G188" s="2" t="n">
        <f aca="false">ROUND(E188*F188,2)</f>
        <v>201.9</v>
      </c>
      <c r="H188" s="2" t="n">
        <f aca="false">E188+G188</f>
        <v>2220.9</v>
      </c>
      <c r="I188" s="3" t="s">
        <v>22</v>
      </c>
      <c r="J188" s="0" t="str">
        <f aca="false">_xlfn.XLOOKUP(C188,Departments!$A$2:$A$6,Departments!$B$2:$B$6,"Unknown")</f>
        <v>Quality</v>
      </c>
    </row>
    <row r="189" customFormat="false" ht="15" hidden="false" customHeight="false" outlineLevel="0" collapsed="false">
      <c r="A189" s="0" t="s">
        <v>216</v>
      </c>
      <c r="B189" s="4" t="n">
        <v>45846</v>
      </c>
      <c r="C189" s="0" t="s">
        <v>27</v>
      </c>
      <c r="D189" s="3" t="s">
        <v>25</v>
      </c>
      <c r="E189" s="2" t="n">
        <v>2056</v>
      </c>
      <c r="F189" s="5" t="n">
        <f aca="false">VLOOKUP(D189,Lookup!$A$2:$B$4,2,FALSE())</f>
        <v>0.15</v>
      </c>
      <c r="G189" s="2" t="n">
        <f aca="false">ROUND(E189*F189,2)</f>
        <v>308.4</v>
      </c>
      <c r="H189" s="2" t="n">
        <f aca="false">E189+G189</f>
        <v>2364.4</v>
      </c>
      <c r="I189" s="3" t="s">
        <v>22</v>
      </c>
      <c r="J189" s="0" t="str">
        <f aca="false">_xlfn.XLOOKUP(C189,Departments!$A$2:$A$6,Departments!$B$2:$B$6,"Unknown")</f>
        <v>Human Resources</v>
      </c>
    </row>
    <row r="190" customFormat="false" ht="15" hidden="false" customHeight="false" outlineLevel="0" collapsed="false">
      <c r="A190" s="0" t="s">
        <v>217</v>
      </c>
      <c r="B190" s="4" t="n">
        <v>45847</v>
      </c>
      <c r="C190" s="0" t="s">
        <v>30</v>
      </c>
      <c r="D190" s="3" t="s">
        <v>28</v>
      </c>
      <c r="E190" s="2" t="n">
        <v>2093</v>
      </c>
      <c r="F190" s="5" t="n">
        <f aca="false">VLOOKUP(D190,Lookup!$A$2:$B$4,2,FALSE())</f>
        <v>0.05</v>
      </c>
      <c r="G190" s="2" t="n">
        <f aca="false">ROUND(E190*F190,2)</f>
        <v>104.65</v>
      </c>
      <c r="H190" s="2" t="n">
        <f aca="false">E190+G190</f>
        <v>2197.65</v>
      </c>
      <c r="I190" s="3" t="s">
        <v>35</v>
      </c>
      <c r="J190" s="0" t="str">
        <f aca="false">_xlfn.XLOOKUP(C190,Departments!$A$2:$A$6,Departments!$B$2:$B$6,"Unknown")</f>
        <v>Technology</v>
      </c>
    </row>
    <row r="191" customFormat="false" ht="15" hidden="false" customHeight="false" outlineLevel="0" collapsed="false">
      <c r="A191" s="0" t="s">
        <v>218</v>
      </c>
      <c r="B191" s="4" t="n">
        <v>45848</v>
      </c>
      <c r="C191" s="0" t="s">
        <v>32</v>
      </c>
      <c r="D191" s="3" t="s">
        <v>21</v>
      </c>
      <c r="E191" s="2" t="n">
        <v>2130</v>
      </c>
      <c r="F191" s="5" t="n">
        <f aca="false">VLOOKUP(D191,Lookup!$A$2:$B$4,2,FALSE())</f>
        <v>0.1</v>
      </c>
      <c r="G191" s="2" t="n">
        <f aca="false">ROUND(E191*F191,2)</f>
        <v>213</v>
      </c>
      <c r="H191" s="2" t="n">
        <f aca="false">E191+G191</f>
        <v>2343</v>
      </c>
      <c r="I191" s="3" t="s">
        <v>22</v>
      </c>
      <c r="J191" s="0" t="str">
        <f aca="false">_xlfn.XLOOKUP(C191,Departments!$A$2:$A$6,Departments!$B$2:$B$6,"Unknown")</f>
        <v>Operations</v>
      </c>
    </row>
    <row r="192" customFormat="false" ht="15" hidden="false" customHeight="false" outlineLevel="0" collapsed="false">
      <c r="A192" s="0" t="s">
        <v>219</v>
      </c>
      <c r="B192" s="4" t="n">
        <v>45849</v>
      </c>
      <c r="C192" s="0" t="s">
        <v>20</v>
      </c>
      <c r="D192" s="3" t="s">
        <v>25</v>
      </c>
      <c r="E192" s="2" t="n">
        <v>2167</v>
      </c>
      <c r="F192" s="5" t="n">
        <f aca="false">VLOOKUP(D192,Lookup!$A$2:$B$4,2,FALSE())</f>
        <v>0.15</v>
      </c>
      <c r="G192" s="2" t="n">
        <f aca="false">ROUND(E192*F192,2)</f>
        <v>325.05</v>
      </c>
      <c r="H192" s="2" t="n">
        <f aca="false">E192+G192</f>
        <v>2492.05</v>
      </c>
      <c r="I192" s="3" t="s">
        <v>22</v>
      </c>
      <c r="J192" s="0" t="str">
        <f aca="false">_xlfn.XLOOKUP(C192,Departments!$A$2:$A$6,Departments!$B$2:$B$6,"Unknown")</f>
        <v>Finance</v>
      </c>
    </row>
    <row r="193" customFormat="false" ht="15" hidden="false" customHeight="false" outlineLevel="0" collapsed="false">
      <c r="A193" s="0" t="s">
        <v>220</v>
      </c>
      <c r="B193" s="4" t="n">
        <v>45850</v>
      </c>
      <c r="C193" s="0" t="s">
        <v>24</v>
      </c>
      <c r="D193" s="3" t="s">
        <v>28</v>
      </c>
      <c r="E193" s="2" t="n">
        <v>2204</v>
      </c>
      <c r="F193" s="5" t="n">
        <f aca="false">VLOOKUP(D193,Lookup!$A$2:$B$4,2,FALSE())</f>
        <v>0.05</v>
      </c>
      <c r="G193" s="2" t="n">
        <f aca="false">ROUND(E193*F193,2)</f>
        <v>110.2</v>
      </c>
      <c r="H193" s="2" t="n">
        <f aca="false">E193+G193</f>
        <v>2314.2</v>
      </c>
      <c r="I193" s="3" t="s">
        <v>22</v>
      </c>
      <c r="J193" s="0" t="str">
        <f aca="false">_xlfn.XLOOKUP(C193,Departments!$A$2:$A$6,Departments!$B$2:$B$6,"Unknown")</f>
        <v>Quality</v>
      </c>
    </row>
    <row r="194" customFormat="false" ht="15" hidden="false" customHeight="false" outlineLevel="0" collapsed="false">
      <c r="A194" s="0" t="s">
        <v>221</v>
      </c>
      <c r="B194" s="4" t="n">
        <v>45851</v>
      </c>
      <c r="C194" s="0" t="s">
        <v>27</v>
      </c>
      <c r="D194" s="3" t="s">
        <v>21</v>
      </c>
      <c r="E194" s="2" t="n">
        <v>2241</v>
      </c>
      <c r="F194" s="5" t="n">
        <f aca="false">VLOOKUP(D194,Lookup!$A$2:$B$4,2,FALSE())</f>
        <v>0.1</v>
      </c>
      <c r="G194" s="2" t="n">
        <f aca="false">ROUND(E194*F194,2)</f>
        <v>224.1</v>
      </c>
      <c r="H194" s="2" t="n">
        <f aca="false">E194+G194</f>
        <v>2465.1</v>
      </c>
      <c r="I194" s="3" t="s">
        <v>22</v>
      </c>
      <c r="J194" s="0" t="str">
        <f aca="false">_xlfn.XLOOKUP(C194,Departments!$A$2:$A$6,Departments!$B$2:$B$6,"Unknown")</f>
        <v>Human Resources</v>
      </c>
    </row>
    <row r="195" customFormat="false" ht="15" hidden="false" customHeight="false" outlineLevel="0" collapsed="false">
      <c r="A195" s="0" t="s">
        <v>222</v>
      </c>
      <c r="B195" s="4" t="n">
        <v>45852</v>
      </c>
      <c r="C195" s="0" t="s">
        <v>30</v>
      </c>
      <c r="D195" s="3" t="s">
        <v>25</v>
      </c>
      <c r="E195" s="2" t="n">
        <v>2278</v>
      </c>
      <c r="F195" s="5" t="n">
        <f aca="false">VLOOKUP(D195,Lookup!$A$2:$B$4,2,FALSE())</f>
        <v>0.15</v>
      </c>
      <c r="G195" s="2" t="n">
        <f aca="false">ROUND(E195*F195,2)</f>
        <v>341.7</v>
      </c>
      <c r="H195" s="2" t="n">
        <f aca="false">E195+G195</f>
        <v>2619.7</v>
      </c>
      <c r="I195" s="3" t="s">
        <v>22</v>
      </c>
      <c r="J195" s="0" t="str">
        <f aca="false">_xlfn.XLOOKUP(C195,Departments!$A$2:$A$6,Departments!$B$2:$B$6,"Unknown")</f>
        <v>Technology</v>
      </c>
    </row>
    <row r="196" customFormat="false" ht="15" hidden="false" customHeight="false" outlineLevel="0" collapsed="false">
      <c r="A196" s="0" t="s">
        <v>223</v>
      </c>
      <c r="B196" s="4" t="n">
        <v>45853</v>
      </c>
      <c r="C196" s="0" t="s">
        <v>32</v>
      </c>
      <c r="D196" s="3" t="s">
        <v>28</v>
      </c>
      <c r="E196" s="2" t="n">
        <v>2315</v>
      </c>
      <c r="F196" s="5" t="n">
        <f aca="false">VLOOKUP(D196,Lookup!$A$2:$B$4,2,FALSE())</f>
        <v>0.05</v>
      </c>
      <c r="G196" s="2" t="n">
        <f aca="false">ROUND(E196*F196,2)</f>
        <v>115.75</v>
      </c>
      <c r="H196" s="2" t="n">
        <f aca="false">E196+G196</f>
        <v>2430.75</v>
      </c>
      <c r="I196" s="3" t="s">
        <v>22</v>
      </c>
      <c r="J196" s="0" t="str">
        <f aca="false">_xlfn.XLOOKUP(C196,Departments!$A$2:$A$6,Departments!$B$2:$B$6,"Unknown")</f>
        <v>Operations</v>
      </c>
    </row>
    <row r="197" customFormat="false" ht="15" hidden="false" customHeight="false" outlineLevel="0" collapsed="false">
      <c r="A197" s="0" t="s">
        <v>224</v>
      </c>
      <c r="B197" s="4" t="n">
        <v>45854</v>
      </c>
      <c r="C197" s="0" t="s">
        <v>20</v>
      </c>
      <c r="D197" s="3" t="s">
        <v>21</v>
      </c>
      <c r="E197" s="2" t="n">
        <v>2352</v>
      </c>
      <c r="F197" s="5" t="n">
        <f aca="false">VLOOKUP(D197,Lookup!$A$2:$B$4,2,FALSE())</f>
        <v>0.1</v>
      </c>
      <c r="G197" s="2" t="n">
        <f aca="false">ROUND(E197*F197,2)</f>
        <v>235.2</v>
      </c>
      <c r="H197" s="2" t="n">
        <f aca="false">E197+G197</f>
        <v>2587.2</v>
      </c>
      <c r="I197" s="3" t="s">
        <v>35</v>
      </c>
      <c r="J197" s="0" t="str">
        <f aca="false">_xlfn.XLOOKUP(C197,Departments!$A$2:$A$6,Departments!$B$2:$B$6,"Unknown")</f>
        <v>Finance</v>
      </c>
    </row>
    <row r="198" customFormat="false" ht="15" hidden="false" customHeight="false" outlineLevel="0" collapsed="false">
      <c r="A198" s="0" t="s">
        <v>225</v>
      </c>
      <c r="B198" s="4" t="n">
        <v>45855</v>
      </c>
      <c r="C198" s="0" t="s">
        <v>24</v>
      </c>
      <c r="D198" s="3" t="s">
        <v>25</v>
      </c>
      <c r="E198" s="2" t="n">
        <v>2389</v>
      </c>
      <c r="F198" s="5" t="n">
        <f aca="false">VLOOKUP(D198,Lookup!$A$2:$B$4,2,FALSE())</f>
        <v>0.15</v>
      </c>
      <c r="G198" s="2" t="n">
        <f aca="false">ROUND(E198*F198,2)</f>
        <v>358.35</v>
      </c>
      <c r="H198" s="2" t="n">
        <f aca="false">E198+G198</f>
        <v>2747.35</v>
      </c>
      <c r="I198" s="3" t="s">
        <v>22</v>
      </c>
      <c r="J198" s="0" t="str">
        <f aca="false">_xlfn.XLOOKUP(C198,Departments!$A$2:$A$6,Departments!$B$2:$B$6,"Unknown")</f>
        <v>Quality</v>
      </c>
    </row>
    <row r="199" customFormat="false" ht="15" hidden="false" customHeight="false" outlineLevel="0" collapsed="false">
      <c r="A199" s="0" t="s">
        <v>226</v>
      </c>
      <c r="B199" s="4" t="n">
        <v>45856</v>
      </c>
      <c r="C199" s="0" t="s">
        <v>27</v>
      </c>
      <c r="D199" s="3" t="s">
        <v>28</v>
      </c>
      <c r="E199" s="2" t="n">
        <v>2426</v>
      </c>
      <c r="F199" s="5" t="n">
        <f aca="false">VLOOKUP(D199,Lookup!$A$2:$B$4,2,FALSE())</f>
        <v>0.05</v>
      </c>
      <c r="G199" s="2" t="n">
        <f aca="false">ROUND(E199*F199,2)</f>
        <v>121.3</v>
      </c>
      <c r="H199" s="2" t="n">
        <f aca="false">E199+G199</f>
        <v>2547.3</v>
      </c>
      <c r="I199" s="3" t="s">
        <v>22</v>
      </c>
      <c r="J199" s="0" t="str">
        <f aca="false">_xlfn.XLOOKUP(C199,Departments!$A$2:$A$6,Departments!$B$2:$B$6,"Unknown")</f>
        <v>Human Resources</v>
      </c>
    </row>
    <row r="200" customFormat="false" ht="15" hidden="false" customHeight="false" outlineLevel="0" collapsed="false">
      <c r="A200" s="0" t="s">
        <v>227</v>
      </c>
      <c r="B200" s="4" t="n">
        <v>45857</v>
      </c>
      <c r="C200" s="0" t="s">
        <v>30</v>
      </c>
      <c r="D200" s="3" t="s">
        <v>21</v>
      </c>
      <c r="E200" s="2" t="n">
        <v>2463</v>
      </c>
      <c r="F200" s="5" t="n">
        <f aca="false">VLOOKUP(D200,Lookup!$A$2:$B$4,2,FALSE())</f>
        <v>0.1</v>
      </c>
      <c r="G200" s="2" t="n">
        <f aca="false">ROUND(E200*F200,2)</f>
        <v>246.3</v>
      </c>
      <c r="H200" s="2" t="n">
        <f aca="false">E200+G200</f>
        <v>2709.3</v>
      </c>
      <c r="I200" s="3" t="s">
        <v>22</v>
      </c>
      <c r="J200" s="0" t="str">
        <f aca="false">_xlfn.XLOOKUP(C200,Departments!$A$2:$A$6,Departments!$B$2:$B$6,"Unknown")</f>
        <v>Technology</v>
      </c>
    </row>
    <row r="201" customFormat="false" ht="15" hidden="false" customHeight="false" outlineLevel="0" collapsed="false">
      <c r="A201" s="0" t="s">
        <v>228</v>
      </c>
      <c r="B201" s="4" t="n">
        <v>45858</v>
      </c>
      <c r="C201" s="0" t="s">
        <v>32</v>
      </c>
      <c r="D201" s="3" t="s">
        <v>25</v>
      </c>
      <c r="E201" s="2" t="n">
        <v>2500</v>
      </c>
      <c r="F201" s="5" t="n">
        <f aca="false">VLOOKUP(D201,Lookup!$A$2:$B$4,2,FALSE())</f>
        <v>0.15</v>
      </c>
      <c r="G201" s="2" t="n">
        <f aca="false">ROUND(E201*F201,2)</f>
        <v>375</v>
      </c>
      <c r="H201" s="2" t="n">
        <f aca="false">E201+G201</f>
        <v>2875</v>
      </c>
      <c r="I201" s="3" t="s">
        <v>22</v>
      </c>
      <c r="J201" s="0" t="str">
        <f aca="false">_xlfn.XLOOKUP(C201,Departments!$A$2:$A$6,Departments!$B$2:$B$6,"Unknown")</f>
        <v>Operations</v>
      </c>
    </row>
    <row r="202" customFormat="false" ht="15" hidden="false" customHeight="false" outlineLevel="0" collapsed="false">
      <c r="A202" s="0" t="s">
        <v>229</v>
      </c>
      <c r="B202" s="4" t="n">
        <v>45859</v>
      </c>
      <c r="C202" s="0" t="s">
        <v>20</v>
      </c>
      <c r="D202" s="3" t="s">
        <v>28</v>
      </c>
      <c r="E202" s="2" t="n">
        <v>2537</v>
      </c>
      <c r="F202" s="5" t="n">
        <f aca="false">VLOOKUP(D202,Lookup!$A$2:$B$4,2,FALSE())</f>
        <v>0.05</v>
      </c>
      <c r="G202" s="2" t="n">
        <f aca="false">ROUND(E202*F202,2)</f>
        <v>126.85</v>
      </c>
      <c r="H202" s="2" t="n">
        <f aca="false">E202+G202</f>
        <v>2663.85</v>
      </c>
      <c r="I202" s="3" t="s">
        <v>22</v>
      </c>
      <c r="J202" s="0" t="str">
        <f aca="false">_xlfn.XLOOKUP(C202,Departments!$A$2:$A$6,Departments!$B$2:$B$6,"Unknown")</f>
        <v>Finance</v>
      </c>
    </row>
    <row r="203" customFormat="false" ht="15" hidden="false" customHeight="false" outlineLevel="0" collapsed="false">
      <c r="A203" s="0" t="s">
        <v>230</v>
      </c>
      <c r="B203" s="4" t="n">
        <v>45860</v>
      </c>
      <c r="C203" s="0" t="s">
        <v>24</v>
      </c>
      <c r="D203" s="3" t="s">
        <v>21</v>
      </c>
      <c r="E203" s="2" t="n">
        <v>2574</v>
      </c>
      <c r="F203" s="5" t="n">
        <f aca="false">VLOOKUP(D203,Lookup!$A$2:$B$4,2,FALSE())</f>
        <v>0.1</v>
      </c>
      <c r="G203" s="2" t="n">
        <f aca="false">ROUND(E203*F203,2)</f>
        <v>257.4</v>
      </c>
      <c r="H203" s="2" t="n">
        <f aca="false">E203+G203</f>
        <v>2831.4</v>
      </c>
      <c r="I203" s="3" t="s">
        <v>22</v>
      </c>
      <c r="J203" s="0" t="str">
        <f aca="false">_xlfn.XLOOKUP(C203,Departments!$A$2:$A$6,Departments!$B$2:$B$6,"Unknown")</f>
        <v>Quality</v>
      </c>
    </row>
    <row r="204" customFormat="false" ht="15" hidden="false" customHeight="false" outlineLevel="0" collapsed="false">
      <c r="A204" s="0" t="s">
        <v>231</v>
      </c>
      <c r="B204" s="4" t="n">
        <v>45861</v>
      </c>
      <c r="C204" s="0" t="s">
        <v>27</v>
      </c>
      <c r="D204" s="3" t="s">
        <v>25</v>
      </c>
      <c r="E204" s="2" t="n">
        <v>2611</v>
      </c>
      <c r="F204" s="5" t="n">
        <f aca="false">VLOOKUP(D204,Lookup!$A$2:$B$4,2,FALSE())</f>
        <v>0.15</v>
      </c>
      <c r="G204" s="2" t="n">
        <f aca="false">ROUND(E204*F204,2)</f>
        <v>391.65</v>
      </c>
      <c r="H204" s="2" t="n">
        <f aca="false">E204+G204</f>
        <v>3002.65</v>
      </c>
      <c r="I204" s="3" t="s">
        <v>35</v>
      </c>
      <c r="J204" s="0" t="str">
        <f aca="false">_xlfn.XLOOKUP(C204,Departments!$A$2:$A$6,Departments!$B$2:$B$6,"Unknown")</f>
        <v>Human Resources</v>
      </c>
    </row>
    <row r="205" customFormat="false" ht="15" hidden="false" customHeight="false" outlineLevel="0" collapsed="false">
      <c r="A205" s="0" t="s">
        <v>232</v>
      </c>
      <c r="B205" s="4" t="n">
        <v>45862</v>
      </c>
      <c r="C205" s="0" t="s">
        <v>30</v>
      </c>
      <c r="D205" s="3" t="s">
        <v>28</v>
      </c>
      <c r="E205" s="2" t="n">
        <v>2648</v>
      </c>
      <c r="F205" s="5" t="n">
        <f aca="false">VLOOKUP(D205,Lookup!$A$2:$B$4,2,FALSE())</f>
        <v>0.05</v>
      </c>
      <c r="G205" s="2" t="n">
        <f aca="false">ROUND(E205*F205,2)</f>
        <v>132.4</v>
      </c>
      <c r="H205" s="2" t="n">
        <f aca="false">E205+G205</f>
        <v>2780.4</v>
      </c>
      <c r="I205" s="3" t="s">
        <v>22</v>
      </c>
      <c r="J205" s="0" t="str">
        <f aca="false">_xlfn.XLOOKUP(C205,Departments!$A$2:$A$6,Departments!$B$2:$B$6,"Unknown")</f>
        <v>Technology</v>
      </c>
    </row>
    <row r="206" customFormat="false" ht="15" hidden="false" customHeight="false" outlineLevel="0" collapsed="false">
      <c r="A206" s="0" t="s">
        <v>233</v>
      </c>
      <c r="B206" s="4" t="n">
        <v>45863</v>
      </c>
      <c r="C206" s="0" t="s">
        <v>32</v>
      </c>
      <c r="D206" s="3" t="s">
        <v>21</v>
      </c>
      <c r="E206" s="2" t="n">
        <v>2685</v>
      </c>
      <c r="F206" s="5" t="n">
        <f aca="false">VLOOKUP(D206,Lookup!$A$2:$B$4,2,FALSE())</f>
        <v>0.1</v>
      </c>
      <c r="G206" s="2" t="n">
        <f aca="false">ROUND(E206*F206,2)</f>
        <v>268.5</v>
      </c>
      <c r="H206" s="2" t="n">
        <f aca="false">E206+G206</f>
        <v>2953.5</v>
      </c>
      <c r="I206" s="3" t="s">
        <v>22</v>
      </c>
      <c r="J206" s="0" t="str">
        <f aca="false">_xlfn.XLOOKUP(C206,Departments!$A$2:$A$6,Departments!$B$2:$B$6,"Unknown")</f>
        <v>Operations</v>
      </c>
    </row>
    <row r="207" customFormat="false" ht="15" hidden="false" customHeight="false" outlineLevel="0" collapsed="false">
      <c r="A207" s="0" t="s">
        <v>234</v>
      </c>
      <c r="B207" s="4" t="n">
        <v>45864</v>
      </c>
      <c r="C207" s="0" t="s">
        <v>20</v>
      </c>
      <c r="D207" s="3" t="s">
        <v>25</v>
      </c>
      <c r="E207" s="2" t="n">
        <v>2722</v>
      </c>
      <c r="F207" s="5" t="n">
        <f aca="false">VLOOKUP(D207,Lookup!$A$2:$B$4,2,FALSE())</f>
        <v>0.15</v>
      </c>
      <c r="G207" s="2" t="n">
        <f aca="false">ROUND(E207*F207,2)</f>
        <v>408.3</v>
      </c>
      <c r="H207" s="2" t="n">
        <f aca="false">E207+G207</f>
        <v>3130.3</v>
      </c>
      <c r="I207" s="3" t="s">
        <v>22</v>
      </c>
      <c r="J207" s="0" t="str">
        <f aca="false">_xlfn.XLOOKUP(C207,Departments!$A$2:$A$6,Departments!$B$2:$B$6,"Unknown")</f>
        <v>Finance</v>
      </c>
    </row>
    <row r="208" customFormat="false" ht="15" hidden="false" customHeight="false" outlineLevel="0" collapsed="false">
      <c r="A208" s="0" t="s">
        <v>235</v>
      </c>
      <c r="B208" s="4" t="n">
        <v>45865</v>
      </c>
      <c r="C208" s="0" t="s">
        <v>24</v>
      </c>
      <c r="D208" s="3" t="s">
        <v>28</v>
      </c>
      <c r="E208" s="2" t="n">
        <v>2759</v>
      </c>
      <c r="F208" s="5" t="n">
        <f aca="false">VLOOKUP(D208,Lookup!$A$2:$B$4,2,FALSE())</f>
        <v>0.05</v>
      </c>
      <c r="G208" s="2" t="n">
        <f aca="false">ROUND(E208*F208,2)</f>
        <v>137.95</v>
      </c>
      <c r="H208" s="2" t="n">
        <f aca="false">E208+G208</f>
        <v>2896.95</v>
      </c>
      <c r="I208" s="3" t="s">
        <v>22</v>
      </c>
      <c r="J208" s="0" t="str">
        <f aca="false">_xlfn.XLOOKUP(C208,Departments!$A$2:$A$6,Departments!$B$2:$B$6,"Unknown")</f>
        <v>Quality</v>
      </c>
    </row>
    <row r="209" customFormat="false" ht="15" hidden="false" customHeight="false" outlineLevel="0" collapsed="false">
      <c r="A209" s="0" t="s">
        <v>236</v>
      </c>
      <c r="B209" s="4" t="n">
        <v>45866</v>
      </c>
      <c r="C209" s="0" t="s">
        <v>27</v>
      </c>
      <c r="D209" s="3" t="s">
        <v>21</v>
      </c>
      <c r="E209" s="2" t="n">
        <v>2796</v>
      </c>
      <c r="F209" s="5" t="n">
        <f aca="false">VLOOKUP(D209,Lookup!$A$2:$B$4,2,FALSE())</f>
        <v>0.1</v>
      </c>
      <c r="G209" s="2" t="n">
        <f aca="false">ROUND(E209*F209,2)</f>
        <v>279.6</v>
      </c>
      <c r="H209" s="2" t="n">
        <f aca="false">E209+G209</f>
        <v>3075.6</v>
      </c>
      <c r="I209" s="3" t="s">
        <v>22</v>
      </c>
      <c r="J209" s="0" t="str">
        <f aca="false">_xlfn.XLOOKUP(C209,Departments!$A$2:$A$6,Departments!$B$2:$B$6,"Unknown")</f>
        <v>Human Resources</v>
      </c>
    </row>
    <row r="210" customFormat="false" ht="15" hidden="false" customHeight="false" outlineLevel="0" collapsed="false">
      <c r="A210" s="0" t="s">
        <v>237</v>
      </c>
      <c r="B210" s="4" t="n">
        <v>45867</v>
      </c>
      <c r="C210" s="0" t="s">
        <v>30</v>
      </c>
      <c r="D210" s="3" t="s">
        <v>25</v>
      </c>
      <c r="E210" s="2" t="n">
        <v>2833</v>
      </c>
      <c r="F210" s="5" t="n">
        <f aca="false">VLOOKUP(D210,Lookup!$A$2:$B$4,2,FALSE())</f>
        <v>0.15</v>
      </c>
      <c r="G210" s="2" t="n">
        <f aca="false">ROUND(E210*F210,2)</f>
        <v>424.95</v>
      </c>
      <c r="H210" s="2" t="n">
        <f aca="false">E210+G210</f>
        <v>3257.95</v>
      </c>
      <c r="I210" s="3" t="s">
        <v>22</v>
      </c>
      <c r="J210" s="0" t="str">
        <f aca="false">_xlfn.XLOOKUP(C210,Departments!$A$2:$A$6,Departments!$B$2:$B$6,"Unknown")</f>
        <v>Technology</v>
      </c>
    </row>
    <row r="211" customFormat="false" ht="15" hidden="false" customHeight="false" outlineLevel="0" collapsed="false">
      <c r="A211" s="0" t="s">
        <v>238</v>
      </c>
      <c r="B211" s="4" t="n">
        <v>45868</v>
      </c>
      <c r="C211" s="0" t="s">
        <v>32</v>
      </c>
      <c r="D211" s="3" t="s">
        <v>28</v>
      </c>
      <c r="E211" s="2" t="n">
        <v>2870</v>
      </c>
      <c r="F211" s="5" t="n">
        <f aca="false">VLOOKUP(D211,Lookup!$A$2:$B$4,2,FALSE())</f>
        <v>0.05</v>
      </c>
      <c r="G211" s="2" t="n">
        <f aca="false">ROUND(E211*F211,2)</f>
        <v>143.5</v>
      </c>
      <c r="H211" s="2" t="n">
        <f aca="false">E211+G211</f>
        <v>3013.5</v>
      </c>
      <c r="I211" s="3" t="s">
        <v>35</v>
      </c>
      <c r="J211" s="0" t="str">
        <f aca="false">_xlfn.XLOOKUP(C211,Departments!$A$2:$A$6,Departments!$B$2:$B$6,"Unknown")</f>
        <v>Operations</v>
      </c>
    </row>
    <row r="212" customFormat="false" ht="15" hidden="false" customHeight="false" outlineLevel="0" collapsed="false">
      <c r="A212" s="0" t="s">
        <v>239</v>
      </c>
      <c r="B212" s="4" t="n">
        <v>45869</v>
      </c>
      <c r="C212" s="0" t="s">
        <v>20</v>
      </c>
      <c r="D212" s="3" t="s">
        <v>21</v>
      </c>
      <c r="E212" s="2" t="n">
        <v>2907</v>
      </c>
      <c r="F212" s="5" t="n">
        <f aca="false">VLOOKUP(D212,Lookup!$A$2:$B$4,2,FALSE())</f>
        <v>0.1</v>
      </c>
      <c r="G212" s="2" t="n">
        <f aca="false">ROUND(E212*F212,2)</f>
        <v>290.7</v>
      </c>
      <c r="H212" s="2" t="n">
        <f aca="false">E212+G212</f>
        <v>3197.7</v>
      </c>
      <c r="I212" s="3" t="s">
        <v>22</v>
      </c>
      <c r="J212" s="0" t="str">
        <f aca="false">_xlfn.XLOOKUP(C212,Departments!$A$2:$A$6,Departments!$B$2:$B$6,"Unknown")</f>
        <v>Finance</v>
      </c>
    </row>
    <row r="213" customFormat="false" ht="15" hidden="false" customHeight="false" outlineLevel="0" collapsed="false">
      <c r="A213" s="0" t="s">
        <v>240</v>
      </c>
      <c r="B213" s="4" t="n">
        <v>45870</v>
      </c>
      <c r="C213" s="0" t="s">
        <v>24</v>
      </c>
      <c r="D213" s="3" t="s">
        <v>25</v>
      </c>
      <c r="E213" s="2" t="n">
        <v>2944</v>
      </c>
      <c r="F213" s="5" t="n">
        <f aca="false">VLOOKUP(D213,Lookup!$A$2:$B$4,2,FALSE())</f>
        <v>0.15</v>
      </c>
      <c r="G213" s="2" t="n">
        <f aca="false">ROUND(E213*F213,2)</f>
        <v>441.6</v>
      </c>
      <c r="H213" s="2" t="n">
        <f aca="false">E213+G213</f>
        <v>3385.6</v>
      </c>
      <c r="I213" s="3" t="s">
        <v>22</v>
      </c>
      <c r="J213" s="0" t="str">
        <f aca="false">_xlfn.XLOOKUP(C213,Departments!$A$2:$A$6,Departments!$B$2:$B$6,"Unknown")</f>
        <v>Quality</v>
      </c>
    </row>
    <row r="214" customFormat="false" ht="15" hidden="false" customHeight="false" outlineLevel="0" collapsed="false">
      <c r="A214" s="0" t="s">
        <v>241</v>
      </c>
      <c r="B214" s="4" t="n">
        <v>45871</v>
      </c>
      <c r="C214" s="0" t="s">
        <v>27</v>
      </c>
      <c r="D214" s="3" t="s">
        <v>28</v>
      </c>
      <c r="E214" s="2" t="n">
        <v>2981</v>
      </c>
      <c r="F214" s="5" t="n">
        <f aca="false">VLOOKUP(D214,Lookup!$A$2:$B$4,2,FALSE())</f>
        <v>0.05</v>
      </c>
      <c r="G214" s="2" t="n">
        <f aca="false">ROUND(E214*F214,2)</f>
        <v>149.05</v>
      </c>
      <c r="H214" s="2" t="n">
        <f aca="false">E214+G214</f>
        <v>3130.05</v>
      </c>
      <c r="I214" s="3" t="s">
        <v>22</v>
      </c>
      <c r="J214" s="0" t="str">
        <f aca="false">_xlfn.XLOOKUP(C214,Departments!$A$2:$A$6,Departments!$B$2:$B$6,"Unknown")</f>
        <v>Human Resources</v>
      </c>
    </row>
    <row r="215" customFormat="false" ht="15" hidden="false" customHeight="false" outlineLevel="0" collapsed="false">
      <c r="A215" s="0" t="s">
        <v>242</v>
      </c>
      <c r="B215" s="4" t="n">
        <v>45872</v>
      </c>
      <c r="C215" s="0" t="s">
        <v>30</v>
      </c>
      <c r="D215" s="3" t="s">
        <v>21</v>
      </c>
      <c r="E215" s="2" t="n">
        <v>3018</v>
      </c>
      <c r="F215" s="5" t="n">
        <f aca="false">VLOOKUP(D215,Lookup!$A$2:$B$4,2,FALSE())</f>
        <v>0.1</v>
      </c>
      <c r="G215" s="2" t="n">
        <f aca="false">ROUND(E215*F215,2)</f>
        <v>301.8</v>
      </c>
      <c r="H215" s="2" t="n">
        <f aca="false">E215+G215</f>
        <v>3319.8</v>
      </c>
      <c r="I215" s="3" t="s">
        <v>22</v>
      </c>
      <c r="J215" s="0" t="str">
        <f aca="false">_xlfn.XLOOKUP(C215,Departments!$A$2:$A$6,Departments!$B$2:$B$6,"Unknown")</f>
        <v>Technology</v>
      </c>
    </row>
    <row r="216" customFormat="false" ht="15" hidden="false" customHeight="false" outlineLevel="0" collapsed="false">
      <c r="A216" s="0" t="s">
        <v>243</v>
      </c>
      <c r="B216" s="4" t="n">
        <v>45873</v>
      </c>
      <c r="C216" s="0" t="s">
        <v>32</v>
      </c>
      <c r="D216" s="3" t="s">
        <v>25</v>
      </c>
      <c r="E216" s="2" t="n">
        <v>3055</v>
      </c>
      <c r="F216" s="5" t="n">
        <f aca="false">VLOOKUP(D216,Lookup!$A$2:$B$4,2,FALSE())</f>
        <v>0.15</v>
      </c>
      <c r="G216" s="2" t="n">
        <f aca="false">ROUND(E216*F216,2)</f>
        <v>458.25</v>
      </c>
      <c r="H216" s="2" t="n">
        <f aca="false">E216+G216</f>
        <v>3513.25</v>
      </c>
      <c r="I216" s="3" t="s">
        <v>22</v>
      </c>
      <c r="J216" s="0" t="str">
        <f aca="false">_xlfn.XLOOKUP(C216,Departments!$A$2:$A$6,Departments!$B$2:$B$6,"Unknown")</f>
        <v>Operations</v>
      </c>
    </row>
    <row r="217" customFormat="false" ht="15" hidden="false" customHeight="false" outlineLevel="0" collapsed="false">
      <c r="A217" s="0" t="s">
        <v>244</v>
      </c>
      <c r="B217" s="4" t="n">
        <v>45874</v>
      </c>
      <c r="C217" s="0" t="s">
        <v>20</v>
      </c>
      <c r="D217" s="3" t="s">
        <v>28</v>
      </c>
      <c r="E217" s="2" t="n">
        <v>3092</v>
      </c>
      <c r="F217" s="5" t="n">
        <f aca="false">VLOOKUP(D217,Lookup!$A$2:$B$4,2,FALSE())</f>
        <v>0.05</v>
      </c>
      <c r="G217" s="2" t="n">
        <f aca="false">ROUND(E217*F217,2)</f>
        <v>154.6</v>
      </c>
      <c r="H217" s="2" t="n">
        <f aca="false">E217+G217</f>
        <v>3246.6</v>
      </c>
      <c r="I217" s="3" t="s">
        <v>22</v>
      </c>
      <c r="J217" s="0" t="str">
        <f aca="false">_xlfn.XLOOKUP(C217,Departments!$A$2:$A$6,Departments!$B$2:$B$6,"Unknown")</f>
        <v>Finance</v>
      </c>
    </row>
    <row r="218" customFormat="false" ht="15" hidden="false" customHeight="false" outlineLevel="0" collapsed="false">
      <c r="A218" s="0" t="s">
        <v>245</v>
      </c>
      <c r="B218" s="4" t="n">
        <v>45875</v>
      </c>
      <c r="C218" s="0" t="s">
        <v>24</v>
      </c>
      <c r="D218" s="3" t="s">
        <v>21</v>
      </c>
      <c r="E218" s="2" t="n">
        <v>3129</v>
      </c>
      <c r="F218" s="5" t="n">
        <f aca="false">VLOOKUP(D218,Lookup!$A$2:$B$4,2,FALSE())</f>
        <v>0.1</v>
      </c>
      <c r="G218" s="2" t="n">
        <f aca="false">ROUND(E218*F218,2)</f>
        <v>312.9</v>
      </c>
      <c r="H218" s="2" t="n">
        <f aca="false">E218+G218</f>
        <v>3441.9</v>
      </c>
      <c r="I218" s="3" t="s">
        <v>35</v>
      </c>
      <c r="J218" s="0" t="str">
        <f aca="false">_xlfn.XLOOKUP(C218,Departments!$A$2:$A$6,Departments!$B$2:$B$6,"Unknown")</f>
        <v>Quality</v>
      </c>
    </row>
    <row r="219" customFormat="false" ht="15" hidden="false" customHeight="false" outlineLevel="0" collapsed="false">
      <c r="A219" s="0" t="s">
        <v>246</v>
      </c>
      <c r="B219" s="4" t="n">
        <v>45876</v>
      </c>
      <c r="C219" s="0" t="s">
        <v>27</v>
      </c>
      <c r="D219" s="3" t="s">
        <v>25</v>
      </c>
      <c r="E219" s="2" t="n">
        <v>3166</v>
      </c>
      <c r="F219" s="5" t="n">
        <f aca="false">VLOOKUP(D219,Lookup!$A$2:$B$4,2,FALSE())</f>
        <v>0.15</v>
      </c>
      <c r="G219" s="2" t="n">
        <f aca="false">ROUND(E219*F219,2)</f>
        <v>474.9</v>
      </c>
      <c r="H219" s="2" t="n">
        <f aca="false">E219+G219</f>
        <v>3640.9</v>
      </c>
      <c r="I219" s="3" t="s">
        <v>22</v>
      </c>
      <c r="J219" s="0" t="str">
        <f aca="false">_xlfn.XLOOKUP(C219,Departments!$A$2:$A$6,Departments!$B$2:$B$6,"Unknown")</f>
        <v>Human Resources</v>
      </c>
    </row>
    <row r="220" customFormat="false" ht="15" hidden="false" customHeight="false" outlineLevel="0" collapsed="false">
      <c r="A220" s="0" t="s">
        <v>247</v>
      </c>
      <c r="B220" s="4" t="n">
        <v>45877</v>
      </c>
      <c r="C220" s="0" t="s">
        <v>30</v>
      </c>
      <c r="D220" s="3" t="s">
        <v>28</v>
      </c>
      <c r="E220" s="2" t="n">
        <v>3203</v>
      </c>
      <c r="F220" s="5" t="n">
        <f aca="false">VLOOKUP(D220,Lookup!$A$2:$B$4,2,FALSE())</f>
        <v>0.05</v>
      </c>
      <c r="G220" s="2" t="n">
        <f aca="false">ROUND(E220*F220,2)</f>
        <v>160.15</v>
      </c>
      <c r="H220" s="2" t="n">
        <f aca="false">E220+G220</f>
        <v>3363.15</v>
      </c>
      <c r="I220" s="3" t="s">
        <v>22</v>
      </c>
      <c r="J220" s="0" t="str">
        <f aca="false">_xlfn.XLOOKUP(C220,Departments!$A$2:$A$6,Departments!$B$2:$B$6,"Unknown")</f>
        <v>Technology</v>
      </c>
    </row>
    <row r="221" customFormat="false" ht="15" hidden="false" customHeight="false" outlineLevel="0" collapsed="false">
      <c r="A221" s="0" t="s">
        <v>248</v>
      </c>
      <c r="B221" s="4" t="n">
        <v>45878</v>
      </c>
      <c r="C221" s="0" t="s">
        <v>32</v>
      </c>
      <c r="D221" s="3" t="s">
        <v>21</v>
      </c>
      <c r="E221" s="2" t="n">
        <v>3240</v>
      </c>
      <c r="F221" s="5" t="n">
        <f aca="false">VLOOKUP(D221,Lookup!$A$2:$B$4,2,FALSE())</f>
        <v>0.1</v>
      </c>
      <c r="G221" s="2" t="n">
        <f aca="false">ROUND(E221*F221,2)</f>
        <v>324</v>
      </c>
      <c r="H221" s="2" t="n">
        <f aca="false">E221+G221</f>
        <v>3564</v>
      </c>
      <c r="I221" s="3" t="s">
        <v>22</v>
      </c>
      <c r="J221" s="0" t="str">
        <f aca="false">_xlfn.XLOOKUP(C221,Departments!$A$2:$A$6,Departments!$B$2:$B$6,"Unknown")</f>
        <v>Operations</v>
      </c>
    </row>
    <row r="222" customFormat="false" ht="15" hidden="false" customHeight="false" outlineLevel="0" collapsed="false">
      <c r="A222" s="0" t="s">
        <v>249</v>
      </c>
      <c r="B222" s="4" t="n">
        <v>45879</v>
      </c>
      <c r="C222" s="0" t="s">
        <v>20</v>
      </c>
      <c r="D222" s="3" t="s">
        <v>25</v>
      </c>
      <c r="E222" s="2" t="n">
        <v>3277</v>
      </c>
      <c r="F222" s="5" t="n">
        <f aca="false">VLOOKUP(D222,Lookup!$A$2:$B$4,2,FALSE())</f>
        <v>0.15</v>
      </c>
      <c r="G222" s="2" t="n">
        <f aca="false">ROUND(E222*F222,2)</f>
        <v>491.55</v>
      </c>
      <c r="H222" s="2" t="n">
        <f aca="false">E222+G222</f>
        <v>3768.55</v>
      </c>
      <c r="I222" s="3" t="s">
        <v>22</v>
      </c>
      <c r="J222" s="0" t="str">
        <f aca="false">_xlfn.XLOOKUP(C222,Departments!$A$2:$A$6,Departments!$B$2:$B$6,"Unknown")</f>
        <v>Finance</v>
      </c>
    </row>
    <row r="223" customFormat="false" ht="15" hidden="false" customHeight="false" outlineLevel="0" collapsed="false">
      <c r="A223" s="0" t="s">
        <v>250</v>
      </c>
      <c r="B223" s="4" t="n">
        <v>45880</v>
      </c>
      <c r="C223" s="0" t="s">
        <v>24</v>
      </c>
      <c r="D223" s="3" t="s">
        <v>28</v>
      </c>
      <c r="E223" s="2" t="n">
        <v>3314</v>
      </c>
      <c r="F223" s="5" t="n">
        <f aca="false">VLOOKUP(D223,Lookup!$A$2:$B$4,2,FALSE())</f>
        <v>0.05</v>
      </c>
      <c r="G223" s="2" t="n">
        <f aca="false">ROUND(E223*F223,2)</f>
        <v>165.7</v>
      </c>
      <c r="H223" s="2" t="n">
        <f aca="false">E223+G223</f>
        <v>3479.7</v>
      </c>
      <c r="I223" s="3" t="s">
        <v>22</v>
      </c>
      <c r="J223" s="0" t="str">
        <f aca="false">_xlfn.XLOOKUP(C223,Departments!$A$2:$A$6,Departments!$B$2:$B$6,"Unknown")</f>
        <v>Quality</v>
      </c>
    </row>
    <row r="224" customFormat="false" ht="15" hidden="false" customHeight="false" outlineLevel="0" collapsed="false">
      <c r="A224" s="0" t="s">
        <v>251</v>
      </c>
      <c r="B224" s="4" t="n">
        <v>45881</v>
      </c>
      <c r="C224" s="0" t="s">
        <v>27</v>
      </c>
      <c r="D224" s="3" t="s">
        <v>21</v>
      </c>
      <c r="E224" s="2" t="n">
        <v>3351</v>
      </c>
      <c r="F224" s="5" t="n">
        <f aca="false">VLOOKUP(D224,Lookup!$A$2:$B$4,2,FALSE())</f>
        <v>0.1</v>
      </c>
      <c r="G224" s="2" t="n">
        <f aca="false">ROUND(E224*F224,2)</f>
        <v>335.1</v>
      </c>
      <c r="H224" s="2" t="n">
        <f aca="false">E224+G224</f>
        <v>3686.1</v>
      </c>
      <c r="I224" s="3" t="s">
        <v>22</v>
      </c>
      <c r="J224" s="0" t="str">
        <f aca="false">_xlfn.XLOOKUP(C224,Departments!$A$2:$A$6,Departments!$B$2:$B$6,"Unknown")</f>
        <v>Human Resources</v>
      </c>
    </row>
    <row r="225" customFormat="false" ht="15" hidden="false" customHeight="false" outlineLevel="0" collapsed="false">
      <c r="A225" s="0" t="s">
        <v>252</v>
      </c>
      <c r="B225" s="4" t="n">
        <v>45882</v>
      </c>
      <c r="C225" s="0" t="s">
        <v>30</v>
      </c>
      <c r="D225" s="3" t="s">
        <v>25</v>
      </c>
      <c r="E225" s="2" t="n">
        <v>3388</v>
      </c>
      <c r="F225" s="5" t="n">
        <f aca="false">VLOOKUP(D225,Lookup!$A$2:$B$4,2,FALSE())</f>
        <v>0.15</v>
      </c>
      <c r="G225" s="2" t="n">
        <f aca="false">ROUND(E225*F225,2)</f>
        <v>508.2</v>
      </c>
      <c r="H225" s="2" t="n">
        <f aca="false">E225+G225</f>
        <v>3896.2</v>
      </c>
      <c r="I225" s="3" t="s">
        <v>35</v>
      </c>
      <c r="J225" s="0" t="str">
        <f aca="false">_xlfn.XLOOKUP(C225,Departments!$A$2:$A$6,Departments!$B$2:$B$6,"Unknown")</f>
        <v>Technology</v>
      </c>
    </row>
    <row r="226" customFormat="false" ht="15" hidden="false" customHeight="false" outlineLevel="0" collapsed="false">
      <c r="A226" s="0" t="s">
        <v>253</v>
      </c>
      <c r="B226" s="4" t="n">
        <v>45883</v>
      </c>
      <c r="C226" s="0" t="s">
        <v>32</v>
      </c>
      <c r="D226" s="3" t="s">
        <v>28</v>
      </c>
      <c r="E226" s="2" t="n">
        <v>3425</v>
      </c>
      <c r="F226" s="5" t="n">
        <f aca="false">VLOOKUP(D226,Lookup!$A$2:$B$4,2,FALSE())</f>
        <v>0.05</v>
      </c>
      <c r="G226" s="2" t="n">
        <f aca="false">ROUND(E226*F226,2)</f>
        <v>171.25</v>
      </c>
      <c r="H226" s="2" t="n">
        <f aca="false">E226+G226</f>
        <v>3596.25</v>
      </c>
      <c r="I226" s="3" t="s">
        <v>22</v>
      </c>
      <c r="J226" s="0" t="str">
        <f aca="false">_xlfn.XLOOKUP(C226,Departments!$A$2:$A$6,Departments!$B$2:$B$6,"Unknown")</f>
        <v>Operations</v>
      </c>
    </row>
    <row r="227" customFormat="false" ht="15" hidden="false" customHeight="false" outlineLevel="0" collapsed="false">
      <c r="A227" s="0" t="s">
        <v>254</v>
      </c>
      <c r="B227" s="4" t="n">
        <v>45884</v>
      </c>
      <c r="C227" s="0" t="s">
        <v>20</v>
      </c>
      <c r="D227" s="3" t="s">
        <v>21</v>
      </c>
      <c r="E227" s="2" t="n">
        <v>3462</v>
      </c>
      <c r="F227" s="5" t="n">
        <f aca="false">VLOOKUP(D227,Lookup!$A$2:$B$4,2,FALSE())</f>
        <v>0.1</v>
      </c>
      <c r="G227" s="2" t="n">
        <f aca="false">ROUND(E227*F227,2)</f>
        <v>346.2</v>
      </c>
      <c r="H227" s="2" t="n">
        <f aca="false">E227+G227</f>
        <v>3808.2</v>
      </c>
      <c r="I227" s="3" t="s">
        <v>22</v>
      </c>
      <c r="J227" s="0" t="str">
        <f aca="false">_xlfn.XLOOKUP(C227,Departments!$A$2:$A$6,Departments!$B$2:$B$6,"Unknown")</f>
        <v>Finance</v>
      </c>
    </row>
    <row r="228" customFormat="false" ht="15" hidden="false" customHeight="false" outlineLevel="0" collapsed="false">
      <c r="A228" s="0" t="s">
        <v>255</v>
      </c>
      <c r="B228" s="4" t="n">
        <v>45885</v>
      </c>
      <c r="C228" s="0" t="s">
        <v>24</v>
      </c>
      <c r="D228" s="3" t="s">
        <v>25</v>
      </c>
      <c r="E228" s="2" t="n">
        <v>3499</v>
      </c>
      <c r="F228" s="5" t="n">
        <f aca="false">VLOOKUP(D228,Lookup!$A$2:$B$4,2,FALSE())</f>
        <v>0.15</v>
      </c>
      <c r="G228" s="2" t="n">
        <f aca="false">ROUND(E228*F228,2)</f>
        <v>524.85</v>
      </c>
      <c r="H228" s="2" t="n">
        <f aca="false">E228+G228</f>
        <v>4023.85</v>
      </c>
      <c r="I228" s="3" t="s">
        <v>22</v>
      </c>
      <c r="J228" s="0" t="str">
        <f aca="false">_xlfn.XLOOKUP(C228,Departments!$A$2:$A$6,Departments!$B$2:$B$6,"Unknown")</f>
        <v>Quality</v>
      </c>
    </row>
    <row r="229" customFormat="false" ht="15" hidden="false" customHeight="false" outlineLevel="0" collapsed="false">
      <c r="A229" s="0" t="s">
        <v>256</v>
      </c>
      <c r="B229" s="4" t="n">
        <v>45886</v>
      </c>
      <c r="C229" s="0" t="s">
        <v>27</v>
      </c>
      <c r="D229" s="3" t="s">
        <v>28</v>
      </c>
      <c r="E229" s="2" t="n">
        <v>3536</v>
      </c>
      <c r="F229" s="5" t="n">
        <f aca="false">VLOOKUP(D229,Lookup!$A$2:$B$4,2,FALSE())</f>
        <v>0.05</v>
      </c>
      <c r="G229" s="2" t="n">
        <f aca="false">ROUND(E229*F229,2)</f>
        <v>176.8</v>
      </c>
      <c r="H229" s="2" t="n">
        <f aca="false">E229+G229</f>
        <v>3712.8</v>
      </c>
      <c r="I229" s="3" t="s">
        <v>22</v>
      </c>
      <c r="J229" s="0" t="str">
        <f aca="false">_xlfn.XLOOKUP(C229,Departments!$A$2:$A$6,Departments!$B$2:$B$6,"Unknown")</f>
        <v>Human Resources</v>
      </c>
    </row>
    <row r="230" customFormat="false" ht="15" hidden="false" customHeight="false" outlineLevel="0" collapsed="false">
      <c r="A230" s="0" t="s">
        <v>257</v>
      </c>
      <c r="B230" s="4" t="n">
        <v>45887</v>
      </c>
      <c r="C230" s="0" t="s">
        <v>30</v>
      </c>
      <c r="D230" s="3" t="s">
        <v>21</v>
      </c>
      <c r="E230" s="2" t="n">
        <v>3573</v>
      </c>
      <c r="F230" s="5" t="n">
        <f aca="false">VLOOKUP(D230,Lookup!$A$2:$B$4,2,FALSE())</f>
        <v>0.1</v>
      </c>
      <c r="G230" s="2" t="n">
        <f aca="false">ROUND(E230*F230,2)</f>
        <v>357.3</v>
      </c>
      <c r="H230" s="2" t="n">
        <f aca="false">E230+G230</f>
        <v>3930.3</v>
      </c>
      <c r="I230" s="3" t="s">
        <v>22</v>
      </c>
      <c r="J230" s="0" t="str">
        <f aca="false">_xlfn.XLOOKUP(C230,Departments!$A$2:$A$6,Departments!$B$2:$B$6,"Unknown")</f>
        <v>Technology</v>
      </c>
    </row>
    <row r="231" customFormat="false" ht="15" hidden="false" customHeight="false" outlineLevel="0" collapsed="false">
      <c r="A231" s="0" t="s">
        <v>258</v>
      </c>
      <c r="B231" s="4" t="n">
        <v>45888</v>
      </c>
      <c r="C231" s="0" t="s">
        <v>32</v>
      </c>
      <c r="D231" s="3" t="s">
        <v>25</v>
      </c>
      <c r="E231" s="2" t="n">
        <v>3610</v>
      </c>
      <c r="F231" s="5" t="n">
        <f aca="false">VLOOKUP(D231,Lookup!$A$2:$B$4,2,FALSE())</f>
        <v>0.15</v>
      </c>
      <c r="G231" s="2" t="n">
        <f aca="false">ROUND(E231*F231,2)</f>
        <v>541.5</v>
      </c>
      <c r="H231" s="2" t="n">
        <f aca="false">E231+G231</f>
        <v>4151.5</v>
      </c>
      <c r="I231" s="3" t="s">
        <v>22</v>
      </c>
      <c r="J231" s="0" t="str">
        <f aca="false">_xlfn.XLOOKUP(C231,Departments!$A$2:$A$6,Departments!$B$2:$B$6,"Unknown")</f>
        <v>Operations</v>
      </c>
    </row>
    <row r="232" customFormat="false" ht="15" hidden="false" customHeight="false" outlineLevel="0" collapsed="false">
      <c r="A232" s="0" t="s">
        <v>259</v>
      </c>
      <c r="B232" s="4" t="n">
        <v>45889</v>
      </c>
      <c r="C232" s="0" t="s">
        <v>20</v>
      </c>
      <c r="D232" s="3" t="s">
        <v>28</v>
      </c>
      <c r="E232" s="2" t="n">
        <v>3647</v>
      </c>
      <c r="F232" s="5" t="n">
        <f aca="false">VLOOKUP(D232,Lookup!$A$2:$B$4,2,FALSE())</f>
        <v>0.05</v>
      </c>
      <c r="G232" s="2" t="n">
        <f aca="false">ROUND(E232*F232,2)</f>
        <v>182.35</v>
      </c>
      <c r="H232" s="2" t="n">
        <f aca="false">E232+G232</f>
        <v>3829.35</v>
      </c>
      <c r="I232" s="3" t="s">
        <v>35</v>
      </c>
      <c r="J232" s="0" t="str">
        <f aca="false">_xlfn.XLOOKUP(C232,Departments!$A$2:$A$6,Departments!$B$2:$B$6,"Unknown")</f>
        <v>Finance</v>
      </c>
    </row>
    <row r="233" customFormat="false" ht="15" hidden="false" customHeight="false" outlineLevel="0" collapsed="false">
      <c r="A233" s="0" t="s">
        <v>260</v>
      </c>
      <c r="B233" s="4" t="n">
        <v>45890</v>
      </c>
      <c r="C233" s="0" t="s">
        <v>24</v>
      </c>
      <c r="D233" s="3" t="s">
        <v>21</v>
      </c>
      <c r="E233" s="2" t="n">
        <v>3684</v>
      </c>
      <c r="F233" s="5" t="n">
        <f aca="false">VLOOKUP(D233,Lookup!$A$2:$B$4,2,FALSE())</f>
        <v>0.1</v>
      </c>
      <c r="G233" s="2" t="n">
        <f aca="false">ROUND(E233*F233,2)</f>
        <v>368.4</v>
      </c>
      <c r="H233" s="2" t="n">
        <f aca="false">E233+G233</f>
        <v>4052.4</v>
      </c>
      <c r="I233" s="3" t="s">
        <v>22</v>
      </c>
      <c r="J233" s="0" t="str">
        <f aca="false">_xlfn.XLOOKUP(C233,Departments!$A$2:$A$6,Departments!$B$2:$B$6,"Unknown")</f>
        <v>Quality</v>
      </c>
    </row>
    <row r="234" customFormat="false" ht="15" hidden="false" customHeight="false" outlineLevel="0" collapsed="false">
      <c r="A234" s="0" t="s">
        <v>261</v>
      </c>
      <c r="B234" s="4" t="n">
        <v>45891</v>
      </c>
      <c r="C234" s="0" t="s">
        <v>27</v>
      </c>
      <c r="D234" s="3" t="s">
        <v>25</v>
      </c>
      <c r="E234" s="2" t="n">
        <v>3721</v>
      </c>
      <c r="F234" s="5" t="n">
        <f aca="false">VLOOKUP(D234,Lookup!$A$2:$B$4,2,FALSE())</f>
        <v>0.15</v>
      </c>
      <c r="G234" s="2" t="n">
        <f aca="false">ROUND(E234*F234,2)</f>
        <v>558.15</v>
      </c>
      <c r="H234" s="2" t="n">
        <f aca="false">E234+G234</f>
        <v>4279.15</v>
      </c>
      <c r="I234" s="3" t="s">
        <v>22</v>
      </c>
      <c r="J234" s="0" t="str">
        <f aca="false">_xlfn.XLOOKUP(C234,Departments!$A$2:$A$6,Departments!$B$2:$B$6,"Unknown")</f>
        <v>Human Resources</v>
      </c>
    </row>
    <row r="235" customFormat="false" ht="15" hidden="false" customHeight="false" outlineLevel="0" collapsed="false">
      <c r="A235" s="0" t="s">
        <v>262</v>
      </c>
      <c r="B235" s="4" t="n">
        <v>45892</v>
      </c>
      <c r="C235" s="0" t="s">
        <v>30</v>
      </c>
      <c r="D235" s="3" t="s">
        <v>28</v>
      </c>
      <c r="E235" s="2" t="n">
        <v>3758</v>
      </c>
      <c r="F235" s="5" t="n">
        <f aca="false">VLOOKUP(D235,Lookup!$A$2:$B$4,2,FALSE())</f>
        <v>0.05</v>
      </c>
      <c r="G235" s="2" t="n">
        <f aca="false">ROUND(E235*F235,2)</f>
        <v>187.9</v>
      </c>
      <c r="H235" s="2" t="n">
        <f aca="false">E235+G235</f>
        <v>3945.9</v>
      </c>
      <c r="I235" s="3" t="s">
        <v>22</v>
      </c>
      <c r="J235" s="0" t="str">
        <f aca="false">_xlfn.XLOOKUP(C235,Departments!$A$2:$A$6,Departments!$B$2:$B$6,"Unknown")</f>
        <v>Technology</v>
      </c>
    </row>
    <row r="236" customFormat="false" ht="15" hidden="false" customHeight="false" outlineLevel="0" collapsed="false">
      <c r="A236" s="0" t="s">
        <v>263</v>
      </c>
      <c r="B236" s="4" t="n">
        <v>45893</v>
      </c>
      <c r="C236" s="0" t="s">
        <v>32</v>
      </c>
      <c r="D236" s="3" t="s">
        <v>21</v>
      </c>
      <c r="E236" s="2" t="n">
        <v>3795</v>
      </c>
      <c r="F236" s="5" t="n">
        <f aca="false">VLOOKUP(D236,Lookup!$A$2:$B$4,2,FALSE())</f>
        <v>0.1</v>
      </c>
      <c r="G236" s="2" t="n">
        <f aca="false">ROUND(E236*F236,2)</f>
        <v>379.5</v>
      </c>
      <c r="H236" s="2" t="n">
        <f aca="false">E236+G236</f>
        <v>4174.5</v>
      </c>
      <c r="I236" s="3" t="s">
        <v>22</v>
      </c>
      <c r="J236" s="0" t="str">
        <f aca="false">_xlfn.XLOOKUP(C236,Departments!$A$2:$A$6,Departments!$B$2:$B$6,"Unknown")</f>
        <v>Operations</v>
      </c>
    </row>
    <row r="237" customFormat="false" ht="15" hidden="false" customHeight="false" outlineLevel="0" collapsed="false">
      <c r="A237" s="0" t="s">
        <v>264</v>
      </c>
      <c r="B237" s="4" t="n">
        <v>45894</v>
      </c>
      <c r="C237" s="0" t="s">
        <v>20</v>
      </c>
      <c r="D237" s="3" t="s">
        <v>25</v>
      </c>
      <c r="E237" s="2" t="n">
        <v>3832</v>
      </c>
      <c r="F237" s="5" t="n">
        <f aca="false">VLOOKUP(D237,Lookup!$A$2:$B$4,2,FALSE())</f>
        <v>0.15</v>
      </c>
      <c r="G237" s="2" t="n">
        <f aca="false">ROUND(E237*F237,2)</f>
        <v>574.8</v>
      </c>
      <c r="H237" s="2" t="n">
        <f aca="false">E237+G237</f>
        <v>4406.8</v>
      </c>
      <c r="I237" s="3" t="s">
        <v>22</v>
      </c>
      <c r="J237" s="0" t="str">
        <f aca="false">_xlfn.XLOOKUP(C237,Departments!$A$2:$A$6,Departments!$B$2:$B$6,"Unknown")</f>
        <v>Finance</v>
      </c>
    </row>
    <row r="238" customFormat="false" ht="15" hidden="false" customHeight="false" outlineLevel="0" collapsed="false">
      <c r="A238" s="0" t="s">
        <v>265</v>
      </c>
      <c r="B238" s="4" t="n">
        <v>45895</v>
      </c>
      <c r="C238" s="0" t="s">
        <v>24</v>
      </c>
      <c r="D238" s="3" t="s">
        <v>28</v>
      </c>
      <c r="E238" s="2" t="n">
        <v>3869</v>
      </c>
      <c r="F238" s="5" t="n">
        <f aca="false">VLOOKUP(D238,Lookup!$A$2:$B$4,2,FALSE())</f>
        <v>0.05</v>
      </c>
      <c r="G238" s="2" t="n">
        <f aca="false">ROUND(E238*F238,2)</f>
        <v>193.45</v>
      </c>
      <c r="H238" s="2" t="n">
        <f aca="false">E238+G238</f>
        <v>4062.45</v>
      </c>
      <c r="I238" s="3" t="s">
        <v>22</v>
      </c>
      <c r="J238" s="0" t="str">
        <f aca="false">_xlfn.XLOOKUP(C238,Departments!$A$2:$A$6,Departments!$B$2:$B$6,"Unknown")</f>
        <v>Quality</v>
      </c>
    </row>
    <row r="239" customFormat="false" ht="15" hidden="false" customHeight="false" outlineLevel="0" collapsed="false">
      <c r="A239" s="0" t="s">
        <v>266</v>
      </c>
      <c r="B239" s="4" t="n">
        <v>45896</v>
      </c>
      <c r="C239" s="0" t="s">
        <v>27</v>
      </c>
      <c r="D239" s="3" t="s">
        <v>21</v>
      </c>
      <c r="E239" s="2" t="n">
        <v>3906</v>
      </c>
      <c r="F239" s="5" t="n">
        <f aca="false">VLOOKUP(D239,Lookup!$A$2:$B$4,2,FALSE())</f>
        <v>0.1</v>
      </c>
      <c r="G239" s="2" t="n">
        <f aca="false">ROUND(E239*F239,2)</f>
        <v>390.6</v>
      </c>
      <c r="H239" s="2" t="n">
        <f aca="false">E239+G239</f>
        <v>4296.6</v>
      </c>
      <c r="I239" s="3" t="s">
        <v>35</v>
      </c>
      <c r="J239" s="0" t="str">
        <f aca="false">_xlfn.XLOOKUP(C239,Departments!$A$2:$A$6,Departments!$B$2:$B$6,"Unknown")</f>
        <v>Human Resources</v>
      </c>
    </row>
    <row r="240" customFormat="false" ht="15" hidden="false" customHeight="false" outlineLevel="0" collapsed="false">
      <c r="A240" s="0" t="s">
        <v>267</v>
      </c>
      <c r="B240" s="4" t="n">
        <v>45897</v>
      </c>
      <c r="C240" s="0" t="s">
        <v>30</v>
      </c>
      <c r="D240" s="3" t="s">
        <v>25</v>
      </c>
      <c r="E240" s="2" t="n">
        <v>3943</v>
      </c>
      <c r="F240" s="5" t="n">
        <f aca="false">VLOOKUP(D240,Lookup!$A$2:$B$4,2,FALSE())</f>
        <v>0.15</v>
      </c>
      <c r="G240" s="2" t="n">
        <f aca="false">ROUND(E240*F240,2)</f>
        <v>591.45</v>
      </c>
      <c r="H240" s="2" t="n">
        <f aca="false">E240+G240</f>
        <v>4534.45</v>
      </c>
      <c r="I240" s="3" t="s">
        <v>22</v>
      </c>
      <c r="J240" s="0" t="str">
        <f aca="false">_xlfn.XLOOKUP(C240,Departments!$A$2:$A$6,Departments!$B$2:$B$6,"Unknown")</f>
        <v>Technology</v>
      </c>
    </row>
    <row r="241" customFormat="false" ht="15" hidden="false" customHeight="false" outlineLevel="0" collapsed="false">
      <c r="A241" s="0" t="s">
        <v>268</v>
      </c>
      <c r="B241" s="4" t="n">
        <v>45898</v>
      </c>
      <c r="C241" s="0" t="s">
        <v>32</v>
      </c>
      <c r="D241" s="3" t="s">
        <v>28</v>
      </c>
      <c r="E241" s="2" t="n">
        <v>3980</v>
      </c>
      <c r="F241" s="5" t="n">
        <f aca="false">VLOOKUP(D241,Lookup!$A$2:$B$4,2,FALSE())</f>
        <v>0.05</v>
      </c>
      <c r="G241" s="2" t="n">
        <f aca="false">ROUND(E241*F241,2)</f>
        <v>199</v>
      </c>
      <c r="H241" s="2" t="n">
        <f aca="false">E241+G241</f>
        <v>4179</v>
      </c>
      <c r="I241" s="3" t="s">
        <v>22</v>
      </c>
      <c r="J241" s="0" t="str">
        <f aca="false">_xlfn.XLOOKUP(C241,Departments!$A$2:$A$6,Departments!$B$2:$B$6,"Unknown")</f>
        <v>Operations</v>
      </c>
    </row>
    <row r="242" customFormat="false" ht="15" hidden="false" customHeight="false" outlineLevel="0" collapsed="false">
      <c r="A242" s="0" t="s">
        <v>269</v>
      </c>
      <c r="B242" s="4" t="n">
        <v>45899</v>
      </c>
      <c r="C242" s="0" t="s">
        <v>20</v>
      </c>
      <c r="D242" s="3" t="s">
        <v>21</v>
      </c>
      <c r="E242" s="2" t="n">
        <v>4017</v>
      </c>
      <c r="F242" s="5" t="n">
        <f aca="false">VLOOKUP(D242,Lookup!$A$2:$B$4,2,FALSE())</f>
        <v>0.1</v>
      </c>
      <c r="G242" s="2" t="n">
        <f aca="false">ROUND(E242*F242,2)</f>
        <v>401.7</v>
      </c>
      <c r="H242" s="2" t="n">
        <f aca="false">E242+G242</f>
        <v>4418.7</v>
      </c>
      <c r="I242" s="3" t="s">
        <v>22</v>
      </c>
      <c r="J242" s="0" t="str">
        <f aca="false">_xlfn.XLOOKUP(C242,Departments!$A$2:$A$6,Departments!$B$2:$B$6,"Unknown")</f>
        <v>Finance</v>
      </c>
    </row>
    <row r="243" customFormat="false" ht="15" hidden="false" customHeight="false" outlineLevel="0" collapsed="false">
      <c r="A243" s="0" t="s">
        <v>270</v>
      </c>
      <c r="B243" s="4" t="n">
        <v>45900</v>
      </c>
      <c r="C243" s="0" t="s">
        <v>24</v>
      </c>
      <c r="D243" s="3" t="s">
        <v>25</v>
      </c>
      <c r="E243" s="2" t="n">
        <v>4054</v>
      </c>
      <c r="F243" s="5" t="n">
        <f aca="false">VLOOKUP(D243,Lookup!$A$2:$B$4,2,FALSE())</f>
        <v>0.15</v>
      </c>
      <c r="G243" s="2" t="n">
        <f aca="false">ROUND(E243*F243,2)</f>
        <v>608.1</v>
      </c>
      <c r="H243" s="2" t="n">
        <f aca="false">E243+G243</f>
        <v>4662.1</v>
      </c>
      <c r="I243" s="3" t="s">
        <v>22</v>
      </c>
      <c r="J243" s="0" t="str">
        <f aca="false">_xlfn.XLOOKUP(C243,Departments!$A$2:$A$6,Departments!$B$2:$B$6,"Unknown")</f>
        <v>Quality</v>
      </c>
    </row>
    <row r="244" customFormat="false" ht="15" hidden="false" customHeight="false" outlineLevel="0" collapsed="false">
      <c r="A244" s="0" t="s">
        <v>271</v>
      </c>
      <c r="B244" s="4" t="n">
        <v>45901</v>
      </c>
      <c r="C244" s="0" t="s">
        <v>27</v>
      </c>
      <c r="D244" s="3" t="s">
        <v>28</v>
      </c>
      <c r="E244" s="2" t="n">
        <v>4091</v>
      </c>
      <c r="F244" s="5" t="n">
        <f aca="false">VLOOKUP(D244,Lookup!$A$2:$B$4,2,FALSE())</f>
        <v>0.05</v>
      </c>
      <c r="G244" s="2" t="n">
        <f aca="false">ROUND(E244*F244,2)</f>
        <v>204.55</v>
      </c>
      <c r="H244" s="2" t="n">
        <f aca="false">E244+G244</f>
        <v>4295.55</v>
      </c>
      <c r="I244" s="3" t="s">
        <v>22</v>
      </c>
      <c r="J244" s="0" t="str">
        <f aca="false">_xlfn.XLOOKUP(C244,Departments!$A$2:$A$6,Departments!$B$2:$B$6,"Unknown")</f>
        <v>Human Resources</v>
      </c>
    </row>
    <row r="245" customFormat="false" ht="15" hidden="false" customHeight="false" outlineLevel="0" collapsed="false">
      <c r="A245" s="0" t="s">
        <v>272</v>
      </c>
      <c r="B245" s="4" t="n">
        <v>45902</v>
      </c>
      <c r="C245" s="0" t="s">
        <v>30</v>
      </c>
      <c r="D245" s="3" t="s">
        <v>21</v>
      </c>
      <c r="E245" s="2" t="n">
        <v>4128</v>
      </c>
      <c r="F245" s="5" t="n">
        <f aca="false">VLOOKUP(D245,Lookup!$A$2:$B$4,2,FALSE())</f>
        <v>0.1</v>
      </c>
      <c r="G245" s="2" t="n">
        <f aca="false">ROUND(E245*F245,2)</f>
        <v>412.8</v>
      </c>
      <c r="H245" s="2" t="n">
        <f aca="false">E245+G245</f>
        <v>4540.8</v>
      </c>
      <c r="I245" s="3" t="s">
        <v>22</v>
      </c>
      <c r="J245" s="0" t="str">
        <f aca="false">_xlfn.XLOOKUP(C245,Departments!$A$2:$A$6,Departments!$B$2:$B$6,"Unknown")</f>
        <v>Technology</v>
      </c>
    </row>
    <row r="246" customFormat="false" ht="15" hidden="false" customHeight="false" outlineLevel="0" collapsed="false">
      <c r="A246" s="0" t="s">
        <v>273</v>
      </c>
      <c r="B246" s="4" t="n">
        <v>45903</v>
      </c>
      <c r="C246" s="0" t="s">
        <v>32</v>
      </c>
      <c r="D246" s="3" t="s">
        <v>25</v>
      </c>
      <c r="E246" s="2" t="n">
        <v>4165</v>
      </c>
      <c r="F246" s="5" t="n">
        <f aca="false">VLOOKUP(D246,Lookup!$A$2:$B$4,2,FALSE())</f>
        <v>0.15</v>
      </c>
      <c r="G246" s="2" t="n">
        <f aca="false">ROUND(E246*F246,2)</f>
        <v>624.75</v>
      </c>
      <c r="H246" s="2" t="n">
        <f aca="false">E246+G246</f>
        <v>4789.75</v>
      </c>
      <c r="I246" s="3" t="s">
        <v>35</v>
      </c>
      <c r="J246" s="0" t="str">
        <f aca="false">_xlfn.XLOOKUP(C246,Departments!$A$2:$A$6,Departments!$B$2:$B$6,"Unknown")</f>
        <v>Operations</v>
      </c>
    </row>
    <row r="247" customFormat="false" ht="15" hidden="false" customHeight="false" outlineLevel="0" collapsed="false">
      <c r="A247" s="0" t="s">
        <v>274</v>
      </c>
      <c r="B247" s="4" t="n">
        <v>45904</v>
      </c>
      <c r="C247" s="0" t="s">
        <v>20</v>
      </c>
      <c r="D247" s="3" t="s">
        <v>28</v>
      </c>
      <c r="E247" s="2" t="n">
        <v>4202</v>
      </c>
      <c r="F247" s="5" t="n">
        <f aca="false">VLOOKUP(D247,Lookup!$A$2:$B$4,2,FALSE())</f>
        <v>0.05</v>
      </c>
      <c r="G247" s="2" t="n">
        <f aca="false">ROUND(E247*F247,2)</f>
        <v>210.1</v>
      </c>
      <c r="H247" s="2" t="n">
        <f aca="false">E247+G247</f>
        <v>4412.1</v>
      </c>
      <c r="I247" s="3" t="s">
        <v>22</v>
      </c>
      <c r="J247" s="0" t="str">
        <f aca="false">_xlfn.XLOOKUP(C247,Departments!$A$2:$A$6,Departments!$B$2:$B$6,"Unknown")</f>
        <v>Finance</v>
      </c>
    </row>
    <row r="248" customFormat="false" ht="15" hidden="false" customHeight="false" outlineLevel="0" collapsed="false">
      <c r="A248" s="0" t="s">
        <v>275</v>
      </c>
      <c r="B248" s="4" t="n">
        <v>45905</v>
      </c>
      <c r="C248" s="0" t="s">
        <v>24</v>
      </c>
      <c r="D248" s="3" t="s">
        <v>21</v>
      </c>
      <c r="E248" s="2" t="n">
        <v>4239</v>
      </c>
      <c r="F248" s="5" t="n">
        <f aca="false">VLOOKUP(D248,Lookup!$A$2:$B$4,2,FALSE())</f>
        <v>0.1</v>
      </c>
      <c r="G248" s="2" t="n">
        <f aca="false">ROUND(E248*F248,2)</f>
        <v>423.9</v>
      </c>
      <c r="H248" s="2" t="n">
        <f aca="false">E248+G248</f>
        <v>4662.9</v>
      </c>
      <c r="I248" s="3" t="s">
        <v>22</v>
      </c>
      <c r="J248" s="0" t="str">
        <f aca="false">_xlfn.XLOOKUP(C248,Departments!$A$2:$A$6,Departments!$B$2:$B$6,"Unknown")</f>
        <v>Quality</v>
      </c>
    </row>
    <row r="249" customFormat="false" ht="15" hidden="false" customHeight="false" outlineLevel="0" collapsed="false">
      <c r="A249" s="0" t="s">
        <v>276</v>
      </c>
      <c r="B249" s="4" t="n">
        <v>45906</v>
      </c>
      <c r="C249" s="0" t="s">
        <v>27</v>
      </c>
      <c r="D249" s="3" t="s">
        <v>25</v>
      </c>
      <c r="E249" s="2" t="n">
        <v>4276</v>
      </c>
      <c r="F249" s="5" t="n">
        <f aca="false">VLOOKUP(D249,Lookup!$A$2:$B$4,2,FALSE())</f>
        <v>0.15</v>
      </c>
      <c r="G249" s="2" t="n">
        <f aca="false">ROUND(E249*F249,2)</f>
        <v>641.4</v>
      </c>
      <c r="H249" s="2" t="n">
        <f aca="false">E249+G249</f>
        <v>4917.4</v>
      </c>
      <c r="I249" s="3" t="s">
        <v>22</v>
      </c>
      <c r="J249" s="0" t="str">
        <f aca="false">_xlfn.XLOOKUP(C249,Departments!$A$2:$A$6,Departments!$B$2:$B$6,"Unknown")</f>
        <v>Human Resources</v>
      </c>
    </row>
    <row r="250" customFormat="false" ht="15" hidden="false" customHeight="false" outlineLevel="0" collapsed="false">
      <c r="A250" s="0" t="s">
        <v>277</v>
      </c>
      <c r="B250" s="4" t="n">
        <v>45907</v>
      </c>
      <c r="C250" s="0" t="s">
        <v>30</v>
      </c>
      <c r="D250" s="3" t="s">
        <v>28</v>
      </c>
      <c r="E250" s="2" t="n">
        <v>4313</v>
      </c>
      <c r="F250" s="5" t="n">
        <f aca="false">VLOOKUP(D250,Lookup!$A$2:$B$4,2,FALSE())</f>
        <v>0.05</v>
      </c>
      <c r="G250" s="2" t="n">
        <f aca="false">ROUND(E250*F250,2)</f>
        <v>215.65</v>
      </c>
      <c r="H250" s="2" t="n">
        <f aca="false">E250+G250</f>
        <v>4528.65</v>
      </c>
      <c r="I250" s="3" t="s">
        <v>22</v>
      </c>
      <c r="J250" s="0" t="str">
        <f aca="false">_xlfn.XLOOKUP(C250,Departments!$A$2:$A$6,Departments!$B$2:$B$6,"Unknown")</f>
        <v>Technology</v>
      </c>
    </row>
    <row r="251" customFormat="false" ht="15" hidden="false" customHeight="false" outlineLevel="0" collapsed="false">
      <c r="A251" s="0" t="s">
        <v>278</v>
      </c>
      <c r="B251" s="4" t="n">
        <v>45908</v>
      </c>
      <c r="C251" s="0" t="s">
        <v>32</v>
      </c>
      <c r="D251" s="3" t="s">
        <v>21</v>
      </c>
      <c r="E251" s="2" t="n">
        <v>4350</v>
      </c>
      <c r="F251" s="5" t="n">
        <f aca="false">VLOOKUP(D251,Lookup!$A$2:$B$4,2,FALSE())</f>
        <v>0.1</v>
      </c>
      <c r="G251" s="2" t="n">
        <f aca="false">ROUND(E251*F251,2)</f>
        <v>435</v>
      </c>
      <c r="H251" s="2" t="n">
        <f aca="false">E251+G251</f>
        <v>4785</v>
      </c>
      <c r="I251" s="3" t="s">
        <v>22</v>
      </c>
      <c r="J251" s="0" t="str">
        <f aca="false">_xlfn.XLOOKUP(C251,Departments!$A$2:$A$6,Departments!$B$2:$B$6,"Unknown")</f>
        <v>Operations</v>
      </c>
    </row>
    <row r="252" customFormat="false" ht="15" hidden="false" customHeight="false" outlineLevel="0" collapsed="false">
      <c r="A252" s="0" t="s">
        <v>279</v>
      </c>
      <c r="B252" s="4" t="n">
        <v>45909</v>
      </c>
      <c r="C252" s="0" t="s">
        <v>20</v>
      </c>
      <c r="D252" s="3" t="s">
        <v>25</v>
      </c>
      <c r="E252" s="2" t="n">
        <v>4387</v>
      </c>
      <c r="F252" s="5" t="n">
        <f aca="false">VLOOKUP(D252,Lookup!$A$2:$B$4,2,FALSE())</f>
        <v>0.15</v>
      </c>
      <c r="G252" s="2" t="n">
        <f aca="false">ROUND(E252*F252,2)</f>
        <v>658.05</v>
      </c>
      <c r="H252" s="2" t="n">
        <f aca="false">E252+G252</f>
        <v>5045.05</v>
      </c>
      <c r="I252" s="3" t="s">
        <v>22</v>
      </c>
      <c r="J252" s="0" t="str">
        <f aca="false">_xlfn.XLOOKUP(C252,Departments!$A$2:$A$6,Departments!$B$2:$B$6,"Unknown")</f>
        <v>Finance</v>
      </c>
    </row>
    <row r="253" customFormat="false" ht="15" hidden="false" customHeight="false" outlineLevel="0" collapsed="false">
      <c r="A253" s="0" t="s">
        <v>280</v>
      </c>
      <c r="B253" s="4" t="n">
        <v>45910</v>
      </c>
      <c r="C253" s="0" t="s">
        <v>24</v>
      </c>
      <c r="D253" s="3" t="s">
        <v>28</v>
      </c>
      <c r="E253" s="2" t="n">
        <v>4424</v>
      </c>
      <c r="F253" s="5" t="n">
        <f aca="false">VLOOKUP(D253,Lookup!$A$2:$B$4,2,FALSE())</f>
        <v>0.05</v>
      </c>
      <c r="G253" s="2" t="n">
        <f aca="false">ROUND(E253*F253,2)</f>
        <v>221.2</v>
      </c>
      <c r="H253" s="2" t="n">
        <f aca="false">E253+G253</f>
        <v>4645.2</v>
      </c>
      <c r="I253" s="3" t="s">
        <v>35</v>
      </c>
      <c r="J253" s="0" t="str">
        <f aca="false">_xlfn.XLOOKUP(C253,Departments!$A$2:$A$6,Departments!$B$2:$B$6,"Unknown")</f>
        <v>Quality</v>
      </c>
    </row>
    <row r="254" customFormat="false" ht="15" hidden="false" customHeight="false" outlineLevel="0" collapsed="false">
      <c r="A254" s="0" t="s">
        <v>281</v>
      </c>
      <c r="B254" s="4" t="n">
        <v>45911</v>
      </c>
      <c r="C254" s="0" t="s">
        <v>27</v>
      </c>
      <c r="D254" s="3" t="s">
        <v>21</v>
      </c>
      <c r="E254" s="2" t="n">
        <v>4461</v>
      </c>
      <c r="F254" s="5" t="n">
        <f aca="false">VLOOKUP(D254,Lookup!$A$2:$B$4,2,FALSE())</f>
        <v>0.1</v>
      </c>
      <c r="G254" s="2" t="n">
        <f aca="false">ROUND(E254*F254,2)</f>
        <v>446.1</v>
      </c>
      <c r="H254" s="2" t="n">
        <f aca="false">E254+G254</f>
        <v>4907.1</v>
      </c>
      <c r="I254" s="3" t="s">
        <v>22</v>
      </c>
      <c r="J254" s="0" t="str">
        <f aca="false">_xlfn.XLOOKUP(C254,Departments!$A$2:$A$6,Departments!$B$2:$B$6,"Unknown")</f>
        <v>Human Resources</v>
      </c>
    </row>
    <row r="255" customFormat="false" ht="15" hidden="false" customHeight="false" outlineLevel="0" collapsed="false">
      <c r="A255" s="0" t="s">
        <v>282</v>
      </c>
      <c r="B255" s="4" t="n">
        <v>45912</v>
      </c>
      <c r="C255" s="0" t="s">
        <v>30</v>
      </c>
      <c r="D255" s="3" t="s">
        <v>25</v>
      </c>
      <c r="E255" s="2" t="n">
        <v>4498</v>
      </c>
      <c r="F255" s="5" t="n">
        <f aca="false">VLOOKUP(D255,Lookup!$A$2:$B$4,2,FALSE())</f>
        <v>0.15</v>
      </c>
      <c r="G255" s="2" t="n">
        <f aca="false">ROUND(E255*F255,2)</f>
        <v>674.7</v>
      </c>
      <c r="H255" s="2" t="n">
        <f aca="false">E255+G255</f>
        <v>5172.7</v>
      </c>
      <c r="I255" s="3" t="s">
        <v>22</v>
      </c>
      <c r="J255" s="0" t="str">
        <f aca="false">_xlfn.XLOOKUP(C255,Departments!$A$2:$A$6,Departments!$B$2:$B$6,"Unknown")</f>
        <v>Technology</v>
      </c>
    </row>
    <row r="256" customFormat="false" ht="15" hidden="false" customHeight="false" outlineLevel="0" collapsed="false">
      <c r="A256" s="0" t="s">
        <v>283</v>
      </c>
      <c r="B256" s="4" t="n">
        <v>45913</v>
      </c>
      <c r="C256" s="0" t="s">
        <v>32</v>
      </c>
      <c r="D256" s="3" t="s">
        <v>28</v>
      </c>
      <c r="E256" s="2" t="n">
        <v>4535</v>
      </c>
      <c r="F256" s="5" t="n">
        <f aca="false">VLOOKUP(D256,Lookup!$A$2:$B$4,2,FALSE())</f>
        <v>0.05</v>
      </c>
      <c r="G256" s="2" t="n">
        <f aca="false">ROUND(E256*F256,2)</f>
        <v>226.75</v>
      </c>
      <c r="H256" s="2" t="n">
        <f aca="false">E256+G256</f>
        <v>4761.75</v>
      </c>
      <c r="I256" s="3" t="s">
        <v>22</v>
      </c>
      <c r="J256" s="0" t="str">
        <f aca="false">_xlfn.XLOOKUP(C256,Departments!$A$2:$A$6,Departments!$B$2:$B$6,"Unknown")</f>
        <v>Operations</v>
      </c>
    </row>
    <row r="257" customFormat="false" ht="15" hidden="false" customHeight="false" outlineLevel="0" collapsed="false">
      <c r="A257" s="0" t="s">
        <v>284</v>
      </c>
      <c r="B257" s="4" t="n">
        <v>45914</v>
      </c>
      <c r="C257" s="0" t="s">
        <v>20</v>
      </c>
      <c r="D257" s="3" t="s">
        <v>21</v>
      </c>
      <c r="E257" s="2" t="n">
        <v>4572</v>
      </c>
      <c r="F257" s="5" t="n">
        <f aca="false">VLOOKUP(D257,Lookup!$A$2:$B$4,2,FALSE())</f>
        <v>0.1</v>
      </c>
      <c r="G257" s="2" t="n">
        <f aca="false">ROUND(E257*F257,2)</f>
        <v>457.2</v>
      </c>
      <c r="H257" s="2" t="n">
        <f aca="false">E257+G257</f>
        <v>5029.2</v>
      </c>
      <c r="I257" s="3" t="s">
        <v>22</v>
      </c>
      <c r="J257" s="0" t="str">
        <f aca="false">_xlfn.XLOOKUP(C257,Departments!$A$2:$A$6,Departments!$B$2:$B$6,"Unknown")</f>
        <v>Finance</v>
      </c>
    </row>
    <row r="258" customFormat="false" ht="15" hidden="false" customHeight="false" outlineLevel="0" collapsed="false">
      <c r="A258" s="0" t="s">
        <v>285</v>
      </c>
      <c r="B258" s="4" t="n">
        <v>45915</v>
      </c>
      <c r="C258" s="0" t="s">
        <v>24</v>
      </c>
      <c r="D258" s="3" t="s">
        <v>25</v>
      </c>
      <c r="E258" s="2" t="n">
        <v>4609</v>
      </c>
      <c r="F258" s="5" t="n">
        <f aca="false">VLOOKUP(D258,Lookup!$A$2:$B$4,2,FALSE())</f>
        <v>0.15</v>
      </c>
      <c r="G258" s="2" t="n">
        <f aca="false">ROUND(E258*F258,2)</f>
        <v>691.35</v>
      </c>
      <c r="H258" s="2" t="n">
        <f aca="false">E258+G258</f>
        <v>5300.35</v>
      </c>
      <c r="I258" s="3" t="s">
        <v>22</v>
      </c>
      <c r="J258" s="0" t="str">
        <f aca="false">_xlfn.XLOOKUP(C258,Departments!$A$2:$A$6,Departments!$B$2:$B$6,"Unknown")</f>
        <v>Quality</v>
      </c>
    </row>
    <row r="259" customFormat="false" ht="15" hidden="false" customHeight="false" outlineLevel="0" collapsed="false">
      <c r="A259" s="0" t="s">
        <v>286</v>
      </c>
      <c r="B259" s="4" t="n">
        <v>45916</v>
      </c>
      <c r="C259" s="0" t="s">
        <v>27</v>
      </c>
      <c r="D259" s="3" t="s">
        <v>28</v>
      </c>
      <c r="E259" s="2" t="n">
        <v>4646</v>
      </c>
      <c r="F259" s="5" t="n">
        <f aca="false">VLOOKUP(D259,Lookup!$A$2:$B$4,2,FALSE())</f>
        <v>0.05</v>
      </c>
      <c r="G259" s="2" t="n">
        <f aca="false">ROUND(E259*F259,2)</f>
        <v>232.3</v>
      </c>
      <c r="H259" s="2" t="n">
        <f aca="false">E259+G259</f>
        <v>4878.3</v>
      </c>
      <c r="I259" s="3" t="s">
        <v>22</v>
      </c>
      <c r="J259" s="0" t="str">
        <f aca="false">_xlfn.XLOOKUP(C259,Departments!$A$2:$A$6,Departments!$B$2:$B$6,"Unknown")</f>
        <v>Human Resources</v>
      </c>
    </row>
    <row r="260" customFormat="false" ht="15" hidden="false" customHeight="false" outlineLevel="0" collapsed="false">
      <c r="A260" s="0" t="s">
        <v>287</v>
      </c>
      <c r="B260" s="4" t="n">
        <v>45917</v>
      </c>
      <c r="C260" s="0" t="s">
        <v>30</v>
      </c>
      <c r="D260" s="3" t="s">
        <v>21</v>
      </c>
      <c r="E260" s="2" t="n">
        <v>4683</v>
      </c>
      <c r="F260" s="5" t="n">
        <f aca="false">VLOOKUP(D260,Lookup!$A$2:$B$4,2,FALSE())</f>
        <v>0.1</v>
      </c>
      <c r="G260" s="2" t="n">
        <f aca="false">ROUND(E260*F260,2)</f>
        <v>468.3</v>
      </c>
      <c r="H260" s="2" t="n">
        <f aca="false">E260+G260</f>
        <v>5151.3</v>
      </c>
      <c r="I260" s="3" t="s">
        <v>35</v>
      </c>
      <c r="J260" s="0" t="str">
        <f aca="false">_xlfn.XLOOKUP(C260,Departments!$A$2:$A$6,Departments!$B$2:$B$6,"Unknown")</f>
        <v>Technology</v>
      </c>
    </row>
    <row r="261" customFormat="false" ht="15" hidden="false" customHeight="false" outlineLevel="0" collapsed="false">
      <c r="A261" s="0" t="s">
        <v>288</v>
      </c>
      <c r="B261" s="4" t="n">
        <v>45918</v>
      </c>
      <c r="C261" s="0" t="s">
        <v>32</v>
      </c>
      <c r="D261" s="3" t="s">
        <v>25</v>
      </c>
      <c r="E261" s="2" t="n">
        <v>4720</v>
      </c>
      <c r="F261" s="5" t="n">
        <f aca="false">VLOOKUP(D261,Lookup!$A$2:$B$4,2,FALSE())</f>
        <v>0.15</v>
      </c>
      <c r="G261" s="2" t="n">
        <f aca="false">ROUND(E261*F261,2)</f>
        <v>708</v>
      </c>
      <c r="H261" s="2" t="n">
        <f aca="false">E261+G261</f>
        <v>5428</v>
      </c>
      <c r="I261" s="3" t="s">
        <v>22</v>
      </c>
      <c r="J261" s="0" t="str">
        <f aca="false">_xlfn.XLOOKUP(C261,Departments!$A$2:$A$6,Departments!$B$2:$B$6,"Unknown")</f>
        <v>Operations</v>
      </c>
    </row>
    <row r="262" customFormat="false" ht="15" hidden="false" customHeight="false" outlineLevel="0" collapsed="false">
      <c r="A262" s="0" t="s">
        <v>289</v>
      </c>
      <c r="B262" s="4" t="n">
        <v>45919</v>
      </c>
      <c r="C262" s="0" t="s">
        <v>20</v>
      </c>
      <c r="D262" s="3" t="s">
        <v>28</v>
      </c>
      <c r="E262" s="2" t="n">
        <v>4757</v>
      </c>
      <c r="F262" s="5" t="n">
        <f aca="false">VLOOKUP(D262,Lookup!$A$2:$B$4,2,FALSE())</f>
        <v>0.05</v>
      </c>
      <c r="G262" s="2" t="n">
        <f aca="false">ROUND(E262*F262,2)</f>
        <v>237.85</v>
      </c>
      <c r="H262" s="2" t="n">
        <f aca="false">E262+G262</f>
        <v>4994.85</v>
      </c>
      <c r="I262" s="3" t="s">
        <v>22</v>
      </c>
      <c r="J262" s="0" t="str">
        <f aca="false">_xlfn.XLOOKUP(C262,Departments!$A$2:$A$6,Departments!$B$2:$B$6,"Unknown")</f>
        <v>Finance</v>
      </c>
    </row>
    <row r="263" customFormat="false" ht="15" hidden="false" customHeight="false" outlineLevel="0" collapsed="false">
      <c r="A263" s="0" t="s">
        <v>290</v>
      </c>
      <c r="B263" s="4" t="n">
        <v>45920</v>
      </c>
      <c r="C263" s="0" t="s">
        <v>24</v>
      </c>
      <c r="D263" s="3" t="s">
        <v>21</v>
      </c>
      <c r="E263" s="2" t="n">
        <v>4794</v>
      </c>
      <c r="F263" s="5" t="n">
        <f aca="false">VLOOKUP(D263,Lookup!$A$2:$B$4,2,FALSE())</f>
        <v>0.1</v>
      </c>
      <c r="G263" s="2" t="n">
        <f aca="false">ROUND(E263*F263,2)</f>
        <v>479.4</v>
      </c>
      <c r="H263" s="2" t="n">
        <f aca="false">E263+G263</f>
        <v>5273.4</v>
      </c>
      <c r="I263" s="3" t="s">
        <v>22</v>
      </c>
      <c r="J263" s="0" t="str">
        <f aca="false">_xlfn.XLOOKUP(C263,Departments!$A$2:$A$6,Departments!$B$2:$B$6,"Unknown")</f>
        <v>Quality</v>
      </c>
    </row>
    <row r="264" customFormat="false" ht="15" hidden="false" customHeight="false" outlineLevel="0" collapsed="false">
      <c r="A264" s="0" t="s">
        <v>291</v>
      </c>
      <c r="B264" s="4" t="n">
        <v>45921</v>
      </c>
      <c r="C264" s="0" t="s">
        <v>27</v>
      </c>
      <c r="D264" s="3" t="s">
        <v>25</v>
      </c>
      <c r="E264" s="2" t="n">
        <v>4831</v>
      </c>
      <c r="F264" s="5" t="n">
        <f aca="false">VLOOKUP(D264,Lookup!$A$2:$B$4,2,FALSE())</f>
        <v>0.15</v>
      </c>
      <c r="G264" s="2" t="n">
        <f aca="false">ROUND(E264*F264,2)</f>
        <v>724.65</v>
      </c>
      <c r="H264" s="2" t="n">
        <f aca="false">E264+G264</f>
        <v>5555.65</v>
      </c>
      <c r="I264" s="3" t="s">
        <v>22</v>
      </c>
      <c r="J264" s="0" t="str">
        <f aca="false">_xlfn.XLOOKUP(C264,Departments!$A$2:$A$6,Departments!$B$2:$B$6,"Unknown")</f>
        <v>Human Resources</v>
      </c>
    </row>
    <row r="265" customFormat="false" ht="15" hidden="false" customHeight="false" outlineLevel="0" collapsed="false">
      <c r="A265" s="0" t="s">
        <v>292</v>
      </c>
      <c r="B265" s="4" t="n">
        <v>45922</v>
      </c>
      <c r="C265" s="0" t="s">
        <v>30</v>
      </c>
      <c r="D265" s="3" t="s">
        <v>28</v>
      </c>
      <c r="E265" s="2" t="n">
        <v>4868</v>
      </c>
      <c r="F265" s="5" t="n">
        <f aca="false">VLOOKUP(D265,Lookup!$A$2:$B$4,2,FALSE())</f>
        <v>0.05</v>
      </c>
      <c r="G265" s="2" t="n">
        <f aca="false">ROUND(E265*F265,2)</f>
        <v>243.4</v>
      </c>
      <c r="H265" s="2" t="n">
        <f aca="false">E265+G265</f>
        <v>5111.4</v>
      </c>
      <c r="I265" s="3" t="s">
        <v>22</v>
      </c>
      <c r="J265" s="0" t="str">
        <f aca="false">_xlfn.XLOOKUP(C265,Departments!$A$2:$A$6,Departments!$B$2:$B$6,"Unknown")</f>
        <v>Technology</v>
      </c>
    </row>
    <row r="266" customFormat="false" ht="15" hidden="false" customHeight="false" outlineLevel="0" collapsed="false">
      <c r="A266" s="0" t="s">
        <v>293</v>
      </c>
      <c r="B266" s="4" t="n">
        <v>45923</v>
      </c>
      <c r="C266" s="0" t="s">
        <v>32</v>
      </c>
      <c r="D266" s="3" t="s">
        <v>21</v>
      </c>
      <c r="E266" s="2" t="n">
        <v>4905</v>
      </c>
      <c r="F266" s="5" t="n">
        <f aca="false">VLOOKUP(D266,Lookup!$A$2:$B$4,2,FALSE())</f>
        <v>0.1</v>
      </c>
      <c r="G266" s="2" t="n">
        <f aca="false">ROUND(E266*F266,2)</f>
        <v>490.5</v>
      </c>
      <c r="H266" s="2" t="n">
        <f aca="false">E266+G266</f>
        <v>5395.5</v>
      </c>
      <c r="I266" s="3" t="s">
        <v>22</v>
      </c>
      <c r="J266" s="0" t="str">
        <f aca="false">_xlfn.XLOOKUP(C266,Departments!$A$2:$A$6,Departments!$B$2:$B$6,"Unknown")</f>
        <v>Operations</v>
      </c>
    </row>
    <row r="267" customFormat="false" ht="15" hidden="false" customHeight="false" outlineLevel="0" collapsed="false">
      <c r="A267" s="0" t="s">
        <v>294</v>
      </c>
      <c r="B267" s="4" t="n">
        <v>45924</v>
      </c>
      <c r="C267" s="0" t="s">
        <v>20</v>
      </c>
      <c r="D267" s="3" t="s">
        <v>25</v>
      </c>
      <c r="E267" s="2" t="n">
        <v>4942</v>
      </c>
      <c r="F267" s="5" t="n">
        <f aca="false">VLOOKUP(D267,Lookup!$A$2:$B$4,2,FALSE())</f>
        <v>0.15</v>
      </c>
      <c r="G267" s="2" t="n">
        <f aca="false">ROUND(E267*F267,2)</f>
        <v>741.3</v>
      </c>
      <c r="H267" s="2" t="n">
        <f aca="false">E267+G267</f>
        <v>5683.3</v>
      </c>
      <c r="I267" s="3" t="s">
        <v>35</v>
      </c>
      <c r="J267" s="0" t="str">
        <f aca="false">_xlfn.XLOOKUP(C267,Departments!$A$2:$A$6,Departments!$B$2:$B$6,"Unknown")</f>
        <v>Finance</v>
      </c>
    </row>
    <row r="268" customFormat="false" ht="15" hidden="false" customHeight="false" outlineLevel="0" collapsed="false">
      <c r="A268" s="0" t="s">
        <v>295</v>
      </c>
      <c r="B268" s="4" t="n">
        <v>45925</v>
      </c>
      <c r="C268" s="0" t="s">
        <v>24</v>
      </c>
      <c r="D268" s="3" t="s">
        <v>28</v>
      </c>
      <c r="E268" s="2" t="n">
        <v>4979</v>
      </c>
      <c r="F268" s="5" t="n">
        <f aca="false">VLOOKUP(D268,Lookup!$A$2:$B$4,2,FALSE())</f>
        <v>0.05</v>
      </c>
      <c r="G268" s="2" t="n">
        <f aca="false">ROUND(E268*F268,2)</f>
        <v>248.95</v>
      </c>
      <c r="H268" s="2" t="n">
        <f aca="false">E268+G268</f>
        <v>5227.95</v>
      </c>
      <c r="I268" s="3" t="s">
        <v>22</v>
      </c>
      <c r="J268" s="0" t="str">
        <f aca="false">_xlfn.XLOOKUP(C268,Departments!$A$2:$A$6,Departments!$B$2:$B$6,"Unknown")</f>
        <v>Quality</v>
      </c>
    </row>
    <row r="269" customFormat="false" ht="15" hidden="false" customHeight="false" outlineLevel="0" collapsed="false">
      <c r="A269" s="0" t="s">
        <v>296</v>
      </c>
      <c r="B269" s="4" t="n">
        <v>45926</v>
      </c>
      <c r="C269" s="0" t="s">
        <v>27</v>
      </c>
      <c r="D269" s="3" t="s">
        <v>21</v>
      </c>
      <c r="E269" s="2" t="n">
        <v>5016</v>
      </c>
      <c r="F269" s="5" t="n">
        <f aca="false">VLOOKUP(D269,Lookup!$A$2:$B$4,2,FALSE())</f>
        <v>0.1</v>
      </c>
      <c r="G269" s="2" t="n">
        <f aca="false">ROUND(E269*F269,2)</f>
        <v>501.6</v>
      </c>
      <c r="H269" s="2" t="n">
        <f aca="false">E269+G269</f>
        <v>5517.6</v>
      </c>
      <c r="I269" s="3" t="s">
        <v>22</v>
      </c>
      <c r="J269" s="0" t="str">
        <f aca="false">_xlfn.XLOOKUP(C269,Departments!$A$2:$A$6,Departments!$B$2:$B$6,"Unknown")</f>
        <v>Human Resources</v>
      </c>
    </row>
    <row r="270" customFormat="false" ht="15" hidden="false" customHeight="false" outlineLevel="0" collapsed="false">
      <c r="A270" s="0" t="s">
        <v>297</v>
      </c>
      <c r="B270" s="4" t="n">
        <v>45927</v>
      </c>
      <c r="C270" s="0" t="s">
        <v>30</v>
      </c>
      <c r="D270" s="3" t="s">
        <v>25</v>
      </c>
      <c r="E270" s="2" t="n">
        <v>5053</v>
      </c>
      <c r="F270" s="5" t="n">
        <f aca="false">VLOOKUP(D270,Lookup!$A$2:$B$4,2,FALSE())</f>
        <v>0.15</v>
      </c>
      <c r="G270" s="2" t="n">
        <f aca="false">ROUND(E270*F270,2)</f>
        <v>757.95</v>
      </c>
      <c r="H270" s="2" t="n">
        <f aca="false">E270+G270</f>
        <v>5810.95</v>
      </c>
      <c r="I270" s="3" t="s">
        <v>22</v>
      </c>
      <c r="J270" s="0" t="str">
        <f aca="false">_xlfn.XLOOKUP(C270,Departments!$A$2:$A$6,Departments!$B$2:$B$6,"Unknown")</f>
        <v>Technology</v>
      </c>
    </row>
    <row r="271" customFormat="false" ht="15" hidden="false" customHeight="false" outlineLevel="0" collapsed="false">
      <c r="A271" s="0" t="s">
        <v>298</v>
      </c>
      <c r="B271" s="4" t="n">
        <v>45928</v>
      </c>
      <c r="C271" s="0" t="s">
        <v>32</v>
      </c>
      <c r="D271" s="3" t="s">
        <v>28</v>
      </c>
      <c r="E271" s="2" t="n">
        <v>5090</v>
      </c>
      <c r="F271" s="5" t="n">
        <f aca="false">VLOOKUP(D271,Lookup!$A$2:$B$4,2,FALSE())</f>
        <v>0.05</v>
      </c>
      <c r="G271" s="2" t="n">
        <f aca="false">ROUND(E271*F271,2)</f>
        <v>254.5</v>
      </c>
      <c r="H271" s="2" t="n">
        <f aca="false">E271+G271</f>
        <v>5344.5</v>
      </c>
      <c r="I271" s="3" t="s">
        <v>22</v>
      </c>
      <c r="J271" s="0" t="str">
        <f aca="false">_xlfn.XLOOKUP(C271,Departments!$A$2:$A$6,Departments!$B$2:$B$6,"Unknown")</f>
        <v>Operations</v>
      </c>
    </row>
    <row r="272" customFormat="false" ht="15" hidden="false" customHeight="false" outlineLevel="0" collapsed="false">
      <c r="A272" s="0" t="s">
        <v>299</v>
      </c>
      <c r="B272" s="4" t="n">
        <v>45929</v>
      </c>
      <c r="C272" s="0" t="s">
        <v>20</v>
      </c>
      <c r="D272" s="3" t="s">
        <v>21</v>
      </c>
      <c r="E272" s="2" t="n">
        <v>127</v>
      </c>
      <c r="F272" s="5" t="n">
        <f aca="false">VLOOKUP(D272,Lookup!$A$2:$B$4,2,FALSE())</f>
        <v>0.1</v>
      </c>
      <c r="G272" s="2" t="n">
        <f aca="false">ROUND(E272*F272,2)</f>
        <v>12.7</v>
      </c>
      <c r="H272" s="2" t="n">
        <f aca="false">E272+G272</f>
        <v>139.7</v>
      </c>
      <c r="I272" s="3" t="s">
        <v>22</v>
      </c>
      <c r="J272" s="0" t="str">
        <f aca="false">_xlfn.XLOOKUP(C272,Departments!$A$2:$A$6,Departments!$B$2:$B$6,"Unknown")</f>
        <v>Finance</v>
      </c>
    </row>
    <row r="273" customFormat="false" ht="15" hidden="false" customHeight="false" outlineLevel="0" collapsed="false">
      <c r="A273" s="0" t="s">
        <v>300</v>
      </c>
      <c r="B273" s="4" t="n">
        <v>45930</v>
      </c>
      <c r="C273" s="0" t="s">
        <v>24</v>
      </c>
      <c r="D273" s="3" t="s">
        <v>25</v>
      </c>
      <c r="E273" s="2" t="n">
        <v>164</v>
      </c>
      <c r="F273" s="5" t="n">
        <f aca="false">VLOOKUP(D273,Lookup!$A$2:$B$4,2,FALSE())</f>
        <v>0.15</v>
      </c>
      <c r="G273" s="2" t="n">
        <f aca="false">ROUND(E273*F273,2)</f>
        <v>24.6</v>
      </c>
      <c r="H273" s="2" t="n">
        <f aca="false">E273+G273</f>
        <v>188.6</v>
      </c>
      <c r="I273" s="3" t="s">
        <v>22</v>
      </c>
      <c r="J273" s="0" t="str">
        <f aca="false">_xlfn.XLOOKUP(C273,Departments!$A$2:$A$6,Departments!$B$2:$B$6,"Unknown")</f>
        <v>Quality</v>
      </c>
    </row>
    <row r="274" customFormat="false" ht="15" hidden="false" customHeight="false" outlineLevel="0" collapsed="false">
      <c r="A274" s="0" t="s">
        <v>301</v>
      </c>
      <c r="B274" s="4" t="n">
        <v>45931</v>
      </c>
      <c r="C274" s="0" t="s">
        <v>27</v>
      </c>
      <c r="D274" s="3" t="s">
        <v>28</v>
      </c>
      <c r="E274" s="2" t="n">
        <v>201</v>
      </c>
      <c r="F274" s="5" t="n">
        <f aca="false">VLOOKUP(D274,Lookup!$A$2:$B$4,2,FALSE())</f>
        <v>0.05</v>
      </c>
      <c r="G274" s="2" t="n">
        <f aca="false">ROUND(E274*F274,2)</f>
        <v>10.05</v>
      </c>
      <c r="H274" s="2" t="n">
        <f aca="false">E274+G274</f>
        <v>211.05</v>
      </c>
      <c r="I274" s="3" t="s">
        <v>35</v>
      </c>
      <c r="J274" s="0" t="str">
        <f aca="false">_xlfn.XLOOKUP(C274,Departments!$A$2:$A$6,Departments!$B$2:$B$6,"Unknown")</f>
        <v>Human Resources</v>
      </c>
    </row>
    <row r="275" customFormat="false" ht="15" hidden="false" customHeight="false" outlineLevel="0" collapsed="false">
      <c r="A275" s="0" t="s">
        <v>302</v>
      </c>
      <c r="B275" s="4" t="n">
        <v>45932</v>
      </c>
      <c r="C275" s="0" t="s">
        <v>30</v>
      </c>
      <c r="D275" s="3" t="s">
        <v>21</v>
      </c>
      <c r="E275" s="2" t="n">
        <v>238</v>
      </c>
      <c r="F275" s="5" t="n">
        <f aca="false">VLOOKUP(D275,Lookup!$A$2:$B$4,2,FALSE())</f>
        <v>0.1</v>
      </c>
      <c r="G275" s="2" t="n">
        <f aca="false">ROUND(E275*F275,2)</f>
        <v>23.8</v>
      </c>
      <c r="H275" s="2" t="n">
        <f aca="false">E275+G275</f>
        <v>261.8</v>
      </c>
      <c r="I275" s="3" t="s">
        <v>22</v>
      </c>
      <c r="J275" s="0" t="str">
        <f aca="false">_xlfn.XLOOKUP(C275,Departments!$A$2:$A$6,Departments!$B$2:$B$6,"Unknown")</f>
        <v>Technology</v>
      </c>
    </row>
    <row r="276" customFormat="false" ht="15" hidden="false" customHeight="false" outlineLevel="0" collapsed="false">
      <c r="A276" s="0" t="s">
        <v>303</v>
      </c>
      <c r="B276" s="4" t="n">
        <v>45933</v>
      </c>
      <c r="C276" s="0" t="s">
        <v>32</v>
      </c>
      <c r="D276" s="3" t="s">
        <v>25</v>
      </c>
      <c r="E276" s="2" t="n">
        <v>275</v>
      </c>
      <c r="F276" s="5" t="n">
        <f aca="false">VLOOKUP(D276,Lookup!$A$2:$B$4,2,FALSE())</f>
        <v>0.15</v>
      </c>
      <c r="G276" s="2" t="n">
        <f aca="false">ROUND(E276*F276,2)</f>
        <v>41.25</v>
      </c>
      <c r="H276" s="2" t="n">
        <f aca="false">E276+G276</f>
        <v>316.25</v>
      </c>
      <c r="I276" s="3" t="s">
        <v>22</v>
      </c>
      <c r="J276" s="0" t="str">
        <f aca="false">_xlfn.XLOOKUP(C276,Departments!$A$2:$A$6,Departments!$B$2:$B$6,"Unknown")</f>
        <v>Operations</v>
      </c>
    </row>
    <row r="277" customFormat="false" ht="15" hidden="false" customHeight="false" outlineLevel="0" collapsed="false">
      <c r="A277" s="0" t="s">
        <v>304</v>
      </c>
      <c r="B277" s="4" t="n">
        <v>45934</v>
      </c>
      <c r="C277" s="0" t="s">
        <v>20</v>
      </c>
      <c r="D277" s="3" t="s">
        <v>28</v>
      </c>
      <c r="E277" s="2" t="n">
        <v>312</v>
      </c>
      <c r="F277" s="5" t="n">
        <f aca="false">VLOOKUP(D277,Lookup!$A$2:$B$4,2,FALSE())</f>
        <v>0.05</v>
      </c>
      <c r="G277" s="2" t="n">
        <f aca="false">ROUND(E277*F277,2)</f>
        <v>15.6</v>
      </c>
      <c r="H277" s="2" t="n">
        <f aca="false">E277+G277</f>
        <v>327.6</v>
      </c>
      <c r="I277" s="3" t="s">
        <v>22</v>
      </c>
      <c r="J277" s="0" t="str">
        <f aca="false">_xlfn.XLOOKUP(C277,Departments!$A$2:$A$6,Departments!$B$2:$B$6,"Unknown")</f>
        <v>Finance</v>
      </c>
    </row>
    <row r="278" customFormat="false" ht="15" hidden="false" customHeight="false" outlineLevel="0" collapsed="false">
      <c r="A278" s="0" t="s">
        <v>305</v>
      </c>
      <c r="B278" s="4" t="n">
        <v>45935</v>
      </c>
      <c r="C278" s="0" t="s">
        <v>24</v>
      </c>
      <c r="D278" s="3" t="s">
        <v>21</v>
      </c>
      <c r="E278" s="2" t="n">
        <v>349</v>
      </c>
      <c r="F278" s="5" t="n">
        <f aca="false">VLOOKUP(D278,Lookup!$A$2:$B$4,2,FALSE())</f>
        <v>0.1</v>
      </c>
      <c r="G278" s="2" t="n">
        <f aca="false">ROUND(E278*F278,2)</f>
        <v>34.9</v>
      </c>
      <c r="H278" s="2" t="n">
        <f aca="false">E278+G278</f>
        <v>383.9</v>
      </c>
      <c r="I278" s="3" t="s">
        <v>22</v>
      </c>
      <c r="J278" s="0" t="str">
        <f aca="false">_xlfn.XLOOKUP(C278,Departments!$A$2:$A$6,Departments!$B$2:$B$6,"Unknown")</f>
        <v>Quality</v>
      </c>
    </row>
    <row r="279" customFormat="false" ht="15" hidden="false" customHeight="false" outlineLevel="0" collapsed="false">
      <c r="A279" s="0" t="s">
        <v>306</v>
      </c>
      <c r="B279" s="4" t="n">
        <v>45936</v>
      </c>
      <c r="C279" s="0" t="s">
        <v>27</v>
      </c>
      <c r="D279" s="3" t="s">
        <v>25</v>
      </c>
      <c r="E279" s="2" t="n">
        <v>386</v>
      </c>
      <c r="F279" s="5" t="n">
        <f aca="false">VLOOKUP(D279,Lookup!$A$2:$B$4,2,FALSE())</f>
        <v>0.15</v>
      </c>
      <c r="G279" s="2" t="n">
        <f aca="false">ROUND(E279*F279,2)</f>
        <v>57.9</v>
      </c>
      <c r="H279" s="2" t="n">
        <f aca="false">E279+G279</f>
        <v>443.9</v>
      </c>
      <c r="I279" s="3" t="s">
        <v>22</v>
      </c>
      <c r="J279" s="0" t="str">
        <f aca="false">_xlfn.XLOOKUP(C279,Departments!$A$2:$A$6,Departments!$B$2:$B$6,"Unknown")</f>
        <v>Human Resources</v>
      </c>
    </row>
    <row r="280" customFormat="false" ht="15" hidden="false" customHeight="false" outlineLevel="0" collapsed="false">
      <c r="A280" s="0" t="s">
        <v>307</v>
      </c>
      <c r="B280" s="4" t="n">
        <v>45937</v>
      </c>
      <c r="C280" s="0" t="s">
        <v>30</v>
      </c>
      <c r="D280" s="3" t="s">
        <v>28</v>
      </c>
      <c r="E280" s="2" t="n">
        <v>423</v>
      </c>
      <c r="F280" s="5" t="n">
        <f aca="false">VLOOKUP(D280,Lookup!$A$2:$B$4,2,FALSE())</f>
        <v>0.05</v>
      </c>
      <c r="G280" s="2" t="n">
        <f aca="false">ROUND(E280*F280,2)</f>
        <v>21.15</v>
      </c>
      <c r="H280" s="2" t="n">
        <f aca="false">E280+G280</f>
        <v>444.15</v>
      </c>
      <c r="I280" s="3" t="s">
        <v>22</v>
      </c>
      <c r="J280" s="0" t="str">
        <f aca="false">_xlfn.XLOOKUP(C280,Departments!$A$2:$A$6,Departments!$B$2:$B$6,"Unknown")</f>
        <v>Technology</v>
      </c>
    </row>
    <row r="281" customFormat="false" ht="15" hidden="false" customHeight="false" outlineLevel="0" collapsed="false">
      <c r="A281" s="0" t="s">
        <v>308</v>
      </c>
      <c r="B281" s="4" t="n">
        <v>45938</v>
      </c>
      <c r="C281" s="0" t="s">
        <v>32</v>
      </c>
      <c r="D281" s="3" t="s">
        <v>21</v>
      </c>
      <c r="E281" s="2" t="n">
        <v>460</v>
      </c>
      <c r="F281" s="5" t="n">
        <f aca="false">VLOOKUP(D281,Lookup!$A$2:$B$4,2,FALSE())</f>
        <v>0.1</v>
      </c>
      <c r="G281" s="2" t="n">
        <f aca="false">ROUND(E281*F281,2)</f>
        <v>46</v>
      </c>
      <c r="H281" s="2" t="n">
        <f aca="false">E281+G281</f>
        <v>506</v>
      </c>
      <c r="I281" s="3" t="s">
        <v>35</v>
      </c>
      <c r="J281" s="0" t="str">
        <f aca="false">_xlfn.XLOOKUP(C281,Departments!$A$2:$A$6,Departments!$B$2:$B$6,"Unknown")</f>
        <v>Operations</v>
      </c>
    </row>
    <row r="282" customFormat="false" ht="15" hidden="false" customHeight="false" outlineLevel="0" collapsed="false">
      <c r="A282" s="0" t="s">
        <v>309</v>
      </c>
      <c r="B282" s="4" t="n">
        <v>45939</v>
      </c>
      <c r="C282" s="0" t="s">
        <v>20</v>
      </c>
      <c r="D282" s="3" t="s">
        <v>25</v>
      </c>
      <c r="E282" s="2" t="n">
        <v>497</v>
      </c>
      <c r="F282" s="5" t="n">
        <f aca="false">VLOOKUP(D282,Lookup!$A$2:$B$4,2,FALSE())</f>
        <v>0.15</v>
      </c>
      <c r="G282" s="2" t="n">
        <f aca="false">ROUND(E282*F282,2)</f>
        <v>74.55</v>
      </c>
      <c r="H282" s="2" t="n">
        <f aca="false">E282+G282</f>
        <v>571.55</v>
      </c>
      <c r="I282" s="3" t="s">
        <v>22</v>
      </c>
      <c r="J282" s="0" t="str">
        <f aca="false">_xlfn.XLOOKUP(C282,Departments!$A$2:$A$6,Departments!$B$2:$B$6,"Unknown")</f>
        <v>Finance</v>
      </c>
    </row>
    <row r="283" customFormat="false" ht="15" hidden="false" customHeight="false" outlineLevel="0" collapsed="false">
      <c r="A283" s="0" t="s">
        <v>310</v>
      </c>
      <c r="B283" s="4" t="n">
        <v>45940</v>
      </c>
      <c r="C283" s="0" t="s">
        <v>24</v>
      </c>
      <c r="D283" s="3" t="s">
        <v>28</v>
      </c>
      <c r="E283" s="2" t="n">
        <v>534</v>
      </c>
      <c r="F283" s="5" t="n">
        <f aca="false">VLOOKUP(D283,Lookup!$A$2:$B$4,2,FALSE())</f>
        <v>0.05</v>
      </c>
      <c r="G283" s="2" t="n">
        <f aca="false">ROUND(E283*F283,2)</f>
        <v>26.7</v>
      </c>
      <c r="H283" s="2" t="n">
        <f aca="false">E283+G283</f>
        <v>560.7</v>
      </c>
      <c r="I283" s="3" t="s">
        <v>22</v>
      </c>
      <c r="J283" s="0" t="str">
        <f aca="false">_xlfn.XLOOKUP(C283,Departments!$A$2:$A$6,Departments!$B$2:$B$6,"Unknown")</f>
        <v>Quality</v>
      </c>
    </row>
    <row r="284" customFormat="false" ht="15" hidden="false" customHeight="false" outlineLevel="0" collapsed="false">
      <c r="A284" s="0" t="s">
        <v>311</v>
      </c>
      <c r="B284" s="4" t="n">
        <v>45941</v>
      </c>
      <c r="C284" s="0" t="s">
        <v>27</v>
      </c>
      <c r="D284" s="3" t="s">
        <v>21</v>
      </c>
      <c r="E284" s="2" t="n">
        <v>571</v>
      </c>
      <c r="F284" s="5" t="n">
        <f aca="false">VLOOKUP(D284,Lookup!$A$2:$B$4,2,FALSE())</f>
        <v>0.1</v>
      </c>
      <c r="G284" s="2" t="n">
        <f aca="false">ROUND(E284*F284,2)</f>
        <v>57.1</v>
      </c>
      <c r="H284" s="2" t="n">
        <f aca="false">E284+G284</f>
        <v>628.1</v>
      </c>
      <c r="I284" s="3" t="s">
        <v>22</v>
      </c>
      <c r="J284" s="0" t="str">
        <f aca="false">_xlfn.XLOOKUP(C284,Departments!$A$2:$A$6,Departments!$B$2:$B$6,"Unknown")</f>
        <v>Human Resources</v>
      </c>
    </row>
    <row r="285" customFormat="false" ht="15" hidden="false" customHeight="false" outlineLevel="0" collapsed="false">
      <c r="A285" s="0" t="s">
        <v>312</v>
      </c>
      <c r="B285" s="4" t="n">
        <v>45942</v>
      </c>
      <c r="C285" s="0" t="s">
        <v>30</v>
      </c>
      <c r="D285" s="3" t="s">
        <v>25</v>
      </c>
      <c r="E285" s="2" t="n">
        <v>608</v>
      </c>
      <c r="F285" s="5" t="n">
        <f aca="false">VLOOKUP(D285,Lookup!$A$2:$B$4,2,FALSE())</f>
        <v>0.15</v>
      </c>
      <c r="G285" s="2" t="n">
        <f aca="false">ROUND(E285*F285,2)</f>
        <v>91.2</v>
      </c>
      <c r="H285" s="2" t="n">
        <f aca="false">E285+G285</f>
        <v>699.2</v>
      </c>
      <c r="I285" s="3" t="s">
        <v>22</v>
      </c>
      <c r="J285" s="0" t="str">
        <f aca="false">_xlfn.XLOOKUP(C285,Departments!$A$2:$A$6,Departments!$B$2:$B$6,"Unknown")</f>
        <v>Technology</v>
      </c>
    </row>
    <row r="286" customFormat="false" ht="15" hidden="false" customHeight="false" outlineLevel="0" collapsed="false">
      <c r="A286" s="0" t="s">
        <v>313</v>
      </c>
      <c r="B286" s="4" t="n">
        <v>45943</v>
      </c>
      <c r="C286" s="0" t="s">
        <v>32</v>
      </c>
      <c r="D286" s="3" t="s">
        <v>28</v>
      </c>
      <c r="E286" s="2" t="n">
        <v>645</v>
      </c>
      <c r="F286" s="5" t="n">
        <f aca="false">VLOOKUP(D286,Lookup!$A$2:$B$4,2,FALSE())</f>
        <v>0.05</v>
      </c>
      <c r="G286" s="2" t="n">
        <f aca="false">ROUND(E286*F286,2)</f>
        <v>32.25</v>
      </c>
      <c r="H286" s="2" t="n">
        <f aca="false">E286+G286</f>
        <v>677.25</v>
      </c>
      <c r="I286" s="3" t="s">
        <v>22</v>
      </c>
      <c r="J286" s="0" t="str">
        <f aca="false">_xlfn.XLOOKUP(C286,Departments!$A$2:$A$6,Departments!$B$2:$B$6,"Unknown")</f>
        <v>Operations</v>
      </c>
    </row>
    <row r="287" customFormat="false" ht="15" hidden="false" customHeight="false" outlineLevel="0" collapsed="false">
      <c r="A287" s="0" t="s">
        <v>314</v>
      </c>
      <c r="B287" s="4" t="n">
        <v>45944</v>
      </c>
      <c r="C287" s="0" t="s">
        <v>20</v>
      </c>
      <c r="D287" s="3" t="s">
        <v>21</v>
      </c>
      <c r="E287" s="2" t="n">
        <v>682</v>
      </c>
      <c r="F287" s="5" t="n">
        <f aca="false">VLOOKUP(D287,Lookup!$A$2:$B$4,2,FALSE())</f>
        <v>0.1</v>
      </c>
      <c r="G287" s="2" t="n">
        <f aca="false">ROUND(E287*F287,2)</f>
        <v>68.2</v>
      </c>
      <c r="H287" s="2" t="n">
        <f aca="false">E287+G287</f>
        <v>750.2</v>
      </c>
      <c r="I287" s="3" t="s">
        <v>22</v>
      </c>
      <c r="J287" s="0" t="str">
        <f aca="false">_xlfn.XLOOKUP(C287,Departments!$A$2:$A$6,Departments!$B$2:$B$6,"Unknown")</f>
        <v>Finance</v>
      </c>
    </row>
    <row r="288" customFormat="false" ht="15" hidden="false" customHeight="false" outlineLevel="0" collapsed="false">
      <c r="A288" s="0" t="s">
        <v>315</v>
      </c>
      <c r="B288" s="4" t="n">
        <v>45945</v>
      </c>
      <c r="C288" s="0" t="s">
        <v>24</v>
      </c>
      <c r="D288" s="3" t="s">
        <v>25</v>
      </c>
      <c r="E288" s="2" t="n">
        <v>719</v>
      </c>
      <c r="F288" s="5" t="n">
        <f aca="false">VLOOKUP(D288,Lookup!$A$2:$B$4,2,FALSE())</f>
        <v>0.15</v>
      </c>
      <c r="G288" s="2" t="n">
        <f aca="false">ROUND(E288*F288,2)</f>
        <v>107.85</v>
      </c>
      <c r="H288" s="2" t="n">
        <f aca="false">E288+G288</f>
        <v>826.85</v>
      </c>
      <c r="I288" s="3" t="s">
        <v>35</v>
      </c>
      <c r="J288" s="0" t="str">
        <f aca="false">_xlfn.XLOOKUP(C288,Departments!$A$2:$A$6,Departments!$B$2:$B$6,"Unknown")</f>
        <v>Quality</v>
      </c>
    </row>
    <row r="289" customFormat="false" ht="15" hidden="false" customHeight="false" outlineLevel="0" collapsed="false">
      <c r="A289" s="0" t="s">
        <v>316</v>
      </c>
      <c r="B289" s="4" t="n">
        <v>45946</v>
      </c>
      <c r="C289" s="0" t="s">
        <v>27</v>
      </c>
      <c r="D289" s="3" t="s">
        <v>28</v>
      </c>
      <c r="E289" s="2" t="n">
        <v>756</v>
      </c>
      <c r="F289" s="5" t="n">
        <f aca="false">VLOOKUP(D289,Lookup!$A$2:$B$4,2,FALSE())</f>
        <v>0.05</v>
      </c>
      <c r="G289" s="2" t="n">
        <f aca="false">ROUND(E289*F289,2)</f>
        <v>37.8</v>
      </c>
      <c r="H289" s="2" t="n">
        <f aca="false">E289+G289</f>
        <v>793.8</v>
      </c>
      <c r="I289" s="3" t="s">
        <v>22</v>
      </c>
      <c r="J289" s="0" t="str">
        <f aca="false">_xlfn.XLOOKUP(C289,Departments!$A$2:$A$6,Departments!$B$2:$B$6,"Unknown")</f>
        <v>Human Resources</v>
      </c>
    </row>
    <row r="290" customFormat="false" ht="15" hidden="false" customHeight="false" outlineLevel="0" collapsed="false">
      <c r="A290" s="0" t="s">
        <v>317</v>
      </c>
      <c r="B290" s="4" t="n">
        <v>45947</v>
      </c>
      <c r="C290" s="0" t="s">
        <v>30</v>
      </c>
      <c r="D290" s="3" t="s">
        <v>21</v>
      </c>
      <c r="E290" s="2" t="n">
        <v>793</v>
      </c>
      <c r="F290" s="5" t="n">
        <f aca="false">VLOOKUP(D290,Lookup!$A$2:$B$4,2,FALSE())</f>
        <v>0.1</v>
      </c>
      <c r="G290" s="2" t="n">
        <f aca="false">ROUND(E290*F290,2)</f>
        <v>79.3</v>
      </c>
      <c r="H290" s="2" t="n">
        <f aca="false">E290+G290</f>
        <v>872.3</v>
      </c>
      <c r="I290" s="3" t="s">
        <v>22</v>
      </c>
      <c r="J290" s="0" t="str">
        <f aca="false">_xlfn.XLOOKUP(C290,Departments!$A$2:$A$6,Departments!$B$2:$B$6,"Unknown")</f>
        <v>Technology</v>
      </c>
    </row>
    <row r="291" customFormat="false" ht="15" hidden="false" customHeight="false" outlineLevel="0" collapsed="false">
      <c r="A291" s="0" t="s">
        <v>318</v>
      </c>
      <c r="B291" s="4" t="n">
        <v>45948</v>
      </c>
      <c r="C291" s="0" t="s">
        <v>32</v>
      </c>
      <c r="D291" s="3" t="s">
        <v>25</v>
      </c>
      <c r="E291" s="2" t="n">
        <v>830</v>
      </c>
      <c r="F291" s="5" t="n">
        <f aca="false">VLOOKUP(D291,Lookup!$A$2:$B$4,2,FALSE())</f>
        <v>0.15</v>
      </c>
      <c r="G291" s="2" t="n">
        <f aca="false">ROUND(E291*F291,2)</f>
        <v>124.5</v>
      </c>
      <c r="H291" s="2" t="n">
        <f aca="false">E291+G291</f>
        <v>954.5</v>
      </c>
      <c r="I291" s="3" t="s">
        <v>22</v>
      </c>
      <c r="J291" s="0" t="str">
        <f aca="false">_xlfn.XLOOKUP(C291,Departments!$A$2:$A$6,Departments!$B$2:$B$6,"Unknown")</f>
        <v>Operations</v>
      </c>
    </row>
    <row r="292" customFormat="false" ht="15" hidden="false" customHeight="false" outlineLevel="0" collapsed="false">
      <c r="A292" s="0" t="s">
        <v>319</v>
      </c>
      <c r="B292" s="4" t="n">
        <v>45949</v>
      </c>
      <c r="C292" s="0" t="s">
        <v>20</v>
      </c>
      <c r="D292" s="3" t="s">
        <v>28</v>
      </c>
      <c r="E292" s="2" t="n">
        <v>867</v>
      </c>
      <c r="F292" s="5" t="n">
        <f aca="false">VLOOKUP(D292,Lookup!$A$2:$B$4,2,FALSE())</f>
        <v>0.05</v>
      </c>
      <c r="G292" s="2" t="n">
        <f aca="false">ROUND(E292*F292,2)</f>
        <v>43.35</v>
      </c>
      <c r="H292" s="2" t="n">
        <f aca="false">E292+G292</f>
        <v>910.35</v>
      </c>
      <c r="I292" s="3" t="s">
        <v>22</v>
      </c>
      <c r="J292" s="0" t="str">
        <f aca="false">_xlfn.XLOOKUP(C292,Departments!$A$2:$A$6,Departments!$B$2:$B$6,"Unknown")</f>
        <v>Finance</v>
      </c>
    </row>
    <row r="293" customFormat="false" ht="15" hidden="false" customHeight="false" outlineLevel="0" collapsed="false">
      <c r="A293" s="0" t="s">
        <v>320</v>
      </c>
      <c r="B293" s="4" t="n">
        <v>45950</v>
      </c>
      <c r="C293" s="0" t="s">
        <v>24</v>
      </c>
      <c r="D293" s="3" t="s">
        <v>21</v>
      </c>
      <c r="E293" s="2" t="n">
        <v>904</v>
      </c>
      <c r="F293" s="5" t="n">
        <f aca="false">VLOOKUP(D293,Lookup!$A$2:$B$4,2,FALSE())</f>
        <v>0.1</v>
      </c>
      <c r="G293" s="2" t="n">
        <f aca="false">ROUND(E293*F293,2)</f>
        <v>90.4</v>
      </c>
      <c r="H293" s="2" t="n">
        <f aca="false">E293+G293</f>
        <v>994.4</v>
      </c>
      <c r="I293" s="3" t="s">
        <v>22</v>
      </c>
      <c r="J293" s="0" t="str">
        <f aca="false">_xlfn.XLOOKUP(C293,Departments!$A$2:$A$6,Departments!$B$2:$B$6,"Unknown")</f>
        <v>Quality</v>
      </c>
    </row>
    <row r="294" customFormat="false" ht="15" hidden="false" customHeight="false" outlineLevel="0" collapsed="false">
      <c r="A294" s="0" t="s">
        <v>321</v>
      </c>
      <c r="B294" s="4" t="n">
        <v>45951</v>
      </c>
      <c r="C294" s="0" t="s">
        <v>27</v>
      </c>
      <c r="D294" s="3" t="s">
        <v>25</v>
      </c>
      <c r="E294" s="2" t="n">
        <v>941</v>
      </c>
      <c r="F294" s="5" t="n">
        <f aca="false">VLOOKUP(D294,Lookup!$A$2:$B$4,2,FALSE())</f>
        <v>0.15</v>
      </c>
      <c r="G294" s="2" t="n">
        <f aca="false">ROUND(E294*F294,2)</f>
        <v>141.15</v>
      </c>
      <c r="H294" s="2" t="n">
        <f aca="false">E294+G294</f>
        <v>1082.15</v>
      </c>
      <c r="I294" s="3" t="s">
        <v>22</v>
      </c>
      <c r="J294" s="0" t="str">
        <f aca="false">_xlfn.XLOOKUP(C294,Departments!$A$2:$A$6,Departments!$B$2:$B$6,"Unknown")</f>
        <v>Human Resources</v>
      </c>
    </row>
    <row r="295" customFormat="false" ht="15" hidden="false" customHeight="false" outlineLevel="0" collapsed="false">
      <c r="A295" s="0" t="s">
        <v>322</v>
      </c>
      <c r="B295" s="4" t="n">
        <v>45952</v>
      </c>
      <c r="C295" s="0" t="s">
        <v>30</v>
      </c>
      <c r="D295" s="3" t="s">
        <v>28</v>
      </c>
      <c r="E295" s="2" t="n">
        <v>978</v>
      </c>
      <c r="F295" s="5" t="n">
        <f aca="false">VLOOKUP(D295,Lookup!$A$2:$B$4,2,FALSE())</f>
        <v>0.05</v>
      </c>
      <c r="G295" s="2" t="n">
        <f aca="false">ROUND(E295*F295,2)</f>
        <v>48.9</v>
      </c>
      <c r="H295" s="2" t="n">
        <f aca="false">E295+G295</f>
        <v>1026.9</v>
      </c>
      <c r="I295" s="3" t="s">
        <v>35</v>
      </c>
      <c r="J295" s="0" t="str">
        <f aca="false">_xlfn.XLOOKUP(C295,Departments!$A$2:$A$6,Departments!$B$2:$B$6,"Unknown")</f>
        <v>Technology</v>
      </c>
    </row>
    <row r="296" customFormat="false" ht="15" hidden="false" customHeight="false" outlineLevel="0" collapsed="false">
      <c r="A296" s="0" t="s">
        <v>323</v>
      </c>
      <c r="B296" s="4" t="n">
        <v>45953</v>
      </c>
      <c r="C296" s="0" t="s">
        <v>32</v>
      </c>
      <c r="D296" s="3" t="s">
        <v>21</v>
      </c>
      <c r="E296" s="2" t="n">
        <v>1015</v>
      </c>
      <c r="F296" s="5" t="n">
        <f aca="false">VLOOKUP(D296,Lookup!$A$2:$B$4,2,FALSE())</f>
        <v>0.1</v>
      </c>
      <c r="G296" s="2" t="n">
        <f aca="false">ROUND(E296*F296,2)</f>
        <v>101.5</v>
      </c>
      <c r="H296" s="2" t="n">
        <f aca="false">E296+G296</f>
        <v>1116.5</v>
      </c>
      <c r="I296" s="3" t="s">
        <v>22</v>
      </c>
      <c r="J296" s="0" t="str">
        <f aca="false">_xlfn.XLOOKUP(C296,Departments!$A$2:$A$6,Departments!$B$2:$B$6,"Unknown")</f>
        <v>Operations</v>
      </c>
    </row>
    <row r="297" customFormat="false" ht="15" hidden="false" customHeight="false" outlineLevel="0" collapsed="false">
      <c r="A297" s="0" t="s">
        <v>324</v>
      </c>
      <c r="B297" s="4" t="n">
        <v>45954</v>
      </c>
      <c r="C297" s="0" t="s">
        <v>20</v>
      </c>
      <c r="D297" s="3" t="s">
        <v>25</v>
      </c>
      <c r="E297" s="2" t="n">
        <v>1052</v>
      </c>
      <c r="F297" s="5" t="n">
        <f aca="false">VLOOKUP(D297,Lookup!$A$2:$B$4,2,FALSE())</f>
        <v>0.15</v>
      </c>
      <c r="G297" s="2" t="n">
        <f aca="false">ROUND(E297*F297,2)</f>
        <v>157.8</v>
      </c>
      <c r="H297" s="2" t="n">
        <f aca="false">E297+G297</f>
        <v>1209.8</v>
      </c>
      <c r="I297" s="3" t="s">
        <v>22</v>
      </c>
      <c r="J297" s="0" t="str">
        <f aca="false">_xlfn.XLOOKUP(C297,Departments!$A$2:$A$6,Departments!$B$2:$B$6,"Unknown")</f>
        <v>Finance</v>
      </c>
    </row>
    <row r="298" customFormat="false" ht="15" hidden="false" customHeight="false" outlineLevel="0" collapsed="false">
      <c r="A298" s="0" t="s">
        <v>325</v>
      </c>
      <c r="B298" s="4" t="n">
        <v>45955</v>
      </c>
      <c r="C298" s="0" t="s">
        <v>24</v>
      </c>
      <c r="D298" s="3" t="s">
        <v>28</v>
      </c>
      <c r="E298" s="2" t="n">
        <v>1089</v>
      </c>
      <c r="F298" s="5" t="n">
        <f aca="false">VLOOKUP(D298,Lookup!$A$2:$B$4,2,FALSE())</f>
        <v>0.05</v>
      </c>
      <c r="G298" s="2" t="n">
        <f aca="false">ROUND(E298*F298,2)</f>
        <v>54.45</v>
      </c>
      <c r="H298" s="2" t="n">
        <f aca="false">E298+G298</f>
        <v>1143.45</v>
      </c>
      <c r="I298" s="3" t="s">
        <v>22</v>
      </c>
      <c r="J298" s="0" t="str">
        <f aca="false">_xlfn.XLOOKUP(C298,Departments!$A$2:$A$6,Departments!$B$2:$B$6,"Unknown")</f>
        <v>Quality</v>
      </c>
    </row>
    <row r="299" customFormat="false" ht="15" hidden="false" customHeight="false" outlineLevel="0" collapsed="false">
      <c r="A299" s="0" t="s">
        <v>326</v>
      </c>
      <c r="B299" s="4" t="n">
        <v>45956</v>
      </c>
      <c r="C299" s="0" t="s">
        <v>27</v>
      </c>
      <c r="D299" s="3" t="s">
        <v>21</v>
      </c>
      <c r="E299" s="2" t="n">
        <v>1126</v>
      </c>
      <c r="F299" s="5" t="n">
        <f aca="false">VLOOKUP(D299,Lookup!$A$2:$B$4,2,FALSE())</f>
        <v>0.1</v>
      </c>
      <c r="G299" s="2" t="n">
        <f aca="false">ROUND(E299*F299,2)</f>
        <v>112.6</v>
      </c>
      <c r="H299" s="2" t="n">
        <f aca="false">E299+G299</f>
        <v>1238.6</v>
      </c>
      <c r="I299" s="3" t="s">
        <v>22</v>
      </c>
      <c r="J299" s="0" t="str">
        <f aca="false">_xlfn.XLOOKUP(C299,Departments!$A$2:$A$6,Departments!$B$2:$B$6,"Unknown")</f>
        <v>Human Resources</v>
      </c>
    </row>
    <row r="300" customFormat="false" ht="15" hidden="false" customHeight="false" outlineLevel="0" collapsed="false">
      <c r="A300" s="0" t="s">
        <v>327</v>
      </c>
      <c r="B300" s="4" t="n">
        <v>45957</v>
      </c>
      <c r="C300" s="0" t="s">
        <v>30</v>
      </c>
      <c r="D300" s="3" t="s">
        <v>25</v>
      </c>
      <c r="E300" s="2" t="n">
        <v>1163</v>
      </c>
      <c r="F300" s="5" t="n">
        <f aca="false">VLOOKUP(D300,Lookup!$A$2:$B$4,2,FALSE())</f>
        <v>0.15</v>
      </c>
      <c r="G300" s="2" t="n">
        <f aca="false">ROUND(E300*F300,2)</f>
        <v>174.45</v>
      </c>
      <c r="H300" s="2" t="n">
        <f aca="false">E300+G300</f>
        <v>1337.45</v>
      </c>
      <c r="I300" s="3" t="s">
        <v>22</v>
      </c>
      <c r="J300" s="0" t="str">
        <f aca="false">_xlfn.XLOOKUP(C300,Departments!$A$2:$A$6,Departments!$B$2:$B$6,"Unknown")</f>
        <v>Technology</v>
      </c>
    </row>
    <row r="301" customFormat="false" ht="15" hidden="false" customHeight="false" outlineLevel="0" collapsed="false">
      <c r="A301" s="0" t="s">
        <v>328</v>
      </c>
      <c r="B301" s="4" t="n">
        <v>45958</v>
      </c>
      <c r="C301" s="0" t="s">
        <v>32</v>
      </c>
      <c r="D301" s="3" t="s">
        <v>28</v>
      </c>
      <c r="E301" s="2" t="n">
        <v>1200</v>
      </c>
      <c r="F301" s="5" t="n">
        <f aca="false">VLOOKUP(D301,Lookup!$A$2:$B$4,2,FALSE())</f>
        <v>0.05</v>
      </c>
      <c r="G301" s="2" t="n">
        <f aca="false">ROUND(E301*F301,2)</f>
        <v>60</v>
      </c>
      <c r="H301" s="2" t="n">
        <f aca="false">E301+G301</f>
        <v>1260</v>
      </c>
      <c r="I301" s="3" t="s">
        <v>22</v>
      </c>
      <c r="J301" s="0" t="str">
        <f aca="false">_xlfn.XLOOKUP(C301,Departments!$A$2:$A$6,Departments!$B$2:$B$6,"Unknown")</f>
        <v>Operations</v>
      </c>
    </row>
    <row r="302" customFormat="false" ht="15" hidden="false" customHeight="false" outlineLevel="0" collapsed="false">
      <c r="A302" s="0" t="s">
        <v>329</v>
      </c>
      <c r="B302" s="4" t="n">
        <v>45959</v>
      </c>
      <c r="C302" s="0" t="s">
        <v>20</v>
      </c>
      <c r="D302" s="3" t="s">
        <v>21</v>
      </c>
      <c r="E302" s="2" t="n">
        <v>1237</v>
      </c>
      <c r="F302" s="5" t="n">
        <f aca="false">VLOOKUP(D302,Lookup!$A$2:$B$4,2,FALSE())</f>
        <v>0.1</v>
      </c>
      <c r="G302" s="2" t="n">
        <f aca="false">ROUND(E302*F302,2)</f>
        <v>123.7</v>
      </c>
      <c r="H302" s="2" t="n">
        <f aca="false">E302+G302</f>
        <v>1360.7</v>
      </c>
      <c r="I302" s="3" t="s">
        <v>35</v>
      </c>
      <c r="J302" s="0" t="str">
        <f aca="false">_xlfn.XLOOKUP(C302,Departments!$A$2:$A$6,Departments!$B$2:$B$6,"Unknown")</f>
        <v>Finance</v>
      </c>
    </row>
    <row r="303" customFormat="false" ht="15" hidden="false" customHeight="false" outlineLevel="0" collapsed="false">
      <c r="A303" s="0" t="s">
        <v>330</v>
      </c>
      <c r="B303" s="4" t="n">
        <v>45960</v>
      </c>
      <c r="C303" s="0" t="s">
        <v>24</v>
      </c>
      <c r="D303" s="3" t="s">
        <v>25</v>
      </c>
      <c r="E303" s="2" t="n">
        <v>1274</v>
      </c>
      <c r="F303" s="5" t="n">
        <f aca="false">VLOOKUP(D303,Lookup!$A$2:$B$4,2,FALSE())</f>
        <v>0.15</v>
      </c>
      <c r="G303" s="2" t="n">
        <f aca="false">ROUND(E303*F303,2)</f>
        <v>191.1</v>
      </c>
      <c r="H303" s="2" t="n">
        <f aca="false">E303+G303</f>
        <v>1465.1</v>
      </c>
      <c r="I303" s="3" t="s">
        <v>22</v>
      </c>
      <c r="J303" s="0" t="str">
        <f aca="false">_xlfn.XLOOKUP(C303,Departments!$A$2:$A$6,Departments!$B$2:$B$6,"Unknown")</f>
        <v>Quality</v>
      </c>
    </row>
    <row r="304" customFormat="false" ht="15" hidden="false" customHeight="false" outlineLevel="0" collapsed="false">
      <c r="A304" s="0" t="s">
        <v>331</v>
      </c>
      <c r="B304" s="4" t="n">
        <v>45961</v>
      </c>
      <c r="C304" s="0" t="s">
        <v>27</v>
      </c>
      <c r="D304" s="3" t="s">
        <v>28</v>
      </c>
      <c r="E304" s="2" t="n">
        <v>1311</v>
      </c>
      <c r="F304" s="5" t="n">
        <f aca="false">VLOOKUP(D304,Lookup!$A$2:$B$4,2,FALSE())</f>
        <v>0.05</v>
      </c>
      <c r="G304" s="2" t="n">
        <f aca="false">ROUND(E304*F304,2)</f>
        <v>65.55</v>
      </c>
      <c r="H304" s="2" t="n">
        <f aca="false">E304+G304</f>
        <v>1376.55</v>
      </c>
      <c r="I304" s="3" t="s">
        <v>22</v>
      </c>
      <c r="J304" s="0" t="str">
        <f aca="false">_xlfn.XLOOKUP(C304,Departments!$A$2:$A$6,Departments!$B$2:$B$6,"Unknown")</f>
        <v>Human Resources</v>
      </c>
    </row>
    <row r="305" customFormat="false" ht="15" hidden="false" customHeight="false" outlineLevel="0" collapsed="false">
      <c r="A305" s="0" t="s">
        <v>332</v>
      </c>
      <c r="B305" s="4" t="n">
        <v>45962</v>
      </c>
      <c r="C305" s="0" t="s">
        <v>30</v>
      </c>
      <c r="D305" s="3" t="s">
        <v>21</v>
      </c>
      <c r="E305" s="2" t="n">
        <v>1348</v>
      </c>
      <c r="F305" s="5" t="n">
        <f aca="false">VLOOKUP(D305,Lookup!$A$2:$B$4,2,FALSE())</f>
        <v>0.1</v>
      </c>
      <c r="G305" s="2" t="n">
        <f aca="false">ROUND(E305*F305,2)</f>
        <v>134.8</v>
      </c>
      <c r="H305" s="2" t="n">
        <f aca="false">E305+G305</f>
        <v>1482.8</v>
      </c>
      <c r="I305" s="3" t="s">
        <v>22</v>
      </c>
      <c r="J305" s="0" t="str">
        <f aca="false">_xlfn.XLOOKUP(C305,Departments!$A$2:$A$6,Departments!$B$2:$B$6,"Unknown")</f>
        <v>Technology</v>
      </c>
    </row>
    <row r="306" customFormat="false" ht="15" hidden="false" customHeight="false" outlineLevel="0" collapsed="false">
      <c r="A306" s="0" t="s">
        <v>333</v>
      </c>
      <c r="B306" s="4" t="n">
        <v>45963</v>
      </c>
      <c r="C306" s="0" t="s">
        <v>32</v>
      </c>
      <c r="D306" s="3" t="s">
        <v>25</v>
      </c>
      <c r="E306" s="2" t="n">
        <v>1385</v>
      </c>
      <c r="F306" s="5" t="n">
        <f aca="false">VLOOKUP(D306,Lookup!$A$2:$B$4,2,FALSE())</f>
        <v>0.15</v>
      </c>
      <c r="G306" s="2" t="n">
        <f aca="false">ROUND(E306*F306,2)</f>
        <v>207.75</v>
      </c>
      <c r="H306" s="2" t="n">
        <f aca="false">E306+G306</f>
        <v>1592.75</v>
      </c>
      <c r="I306" s="3" t="s">
        <v>22</v>
      </c>
      <c r="J306" s="0" t="str">
        <f aca="false">_xlfn.XLOOKUP(C306,Departments!$A$2:$A$6,Departments!$B$2:$B$6,"Unknown")</f>
        <v>Operations</v>
      </c>
    </row>
    <row r="307" customFormat="false" ht="15" hidden="false" customHeight="false" outlineLevel="0" collapsed="false">
      <c r="A307" s="0" t="s">
        <v>334</v>
      </c>
      <c r="B307" s="4" t="n">
        <v>45964</v>
      </c>
      <c r="C307" s="0" t="s">
        <v>20</v>
      </c>
      <c r="D307" s="3" t="s">
        <v>28</v>
      </c>
      <c r="E307" s="2" t="n">
        <v>1422</v>
      </c>
      <c r="F307" s="5" t="n">
        <f aca="false">VLOOKUP(D307,Lookup!$A$2:$B$4,2,FALSE())</f>
        <v>0.05</v>
      </c>
      <c r="G307" s="2" t="n">
        <f aca="false">ROUND(E307*F307,2)</f>
        <v>71.1</v>
      </c>
      <c r="H307" s="2" t="n">
        <f aca="false">E307+G307</f>
        <v>1493.1</v>
      </c>
      <c r="I307" s="3" t="s">
        <v>22</v>
      </c>
      <c r="J307" s="0" t="str">
        <f aca="false">_xlfn.XLOOKUP(C307,Departments!$A$2:$A$6,Departments!$B$2:$B$6,"Unknown")</f>
        <v>Finance</v>
      </c>
    </row>
    <row r="308" customFormat="false" ht="15" hidden="false" customHeight="false" outlineLevel="0" collapsed="false">
      <c r="A308" s="0" t="s">
        <v>335</v>
      </c>
      <c r="B308" s="4" t="n">
        <v>45965</v>
      </c>
      <c r="C308" s="0" t="s">
        <v>24</v>
      </c>
      <c r="D308" s="3" t="s">
        <v>21</v>
      </c>
      <c r="E308" s="2" t="n">
        <v>1459</v>
      </c>
      <c r="F308" s="5" t="n">
        <f aca="false">VLOOKUP(D308,Lookup!$A$2:$B$4,2,FALSE())</f>
        <v>0.1</v>
      </c>
      <c r="G308" s="2" t="n">
        <f aca="false">ROUND(E308*F308,2)</f>
        <v>145.9</v>
      </c>
      <c r="H308" s="2" t="n">
        <f aca="false">E308+G308</f>
        <v>1604.9</v>
      </c>
      <c r="I308" s="3" t="s">
        <v>22</v>
      </c>
      <c r="J308" s="0" t="str">
        <f aca="false">_xlfn.XLOOKUP(C308,Departments!$A$2:$A$6,Departments!$B$2:$B$6,"Unknown")</f>
        <v>Quality</v>
      </c>
    </row>
    <row r="309" customFormat="false" ht="15" hidden="false" customHeight="false" outlineLevel="0" collapsed="false">
      <c r="A309" s="0" t="s">
        <v>336</v>
      </c>
      <c r="B309" s="4" t="n">
        <v>45966</v>
      </c>
      <c r="C309" s="0" t="s">
        <v>27</v>
      </c>
      <c r="D309" s="3" t="s">
        <v>25</v>
      </c>
      <c r="E309" s="2" t="n">
        <v>1496</v>
      </c>
      <c r="F309" s="5" t="n">
        <f aca="false">VLOOKUP(D309,Lookup!$A$2:$B$4,2,FALSE())</f>
        <v>0.15</v>
      </c>
      <c r="G309" s="2" t="n">
        <f aca="false">ROUND(E309*F309,2)</f>
        <v>224.4</v>
      </c>
      <c r="H309" s="2" t="n">
        <f aca="false">E309+G309</f>
        <v>1720.4</v>
      </c>
      <c r="I309" s="3" t="s">
        <v>35</v>
      </c>
      <c r="J309" s="0" t="str">
        <f aca="false">_xlfn.XLOOKUP(C309,Departments!$A$2:$A$6,Departments!$B$2:$B$6,"Unknown")</f>
        <v>Human Resources</v>
      </c>
    </row>
    <row r="310" customFormat="false" ht="15" hidden="false" customHeight="false" outlineLevel="0" collapsed="false">
      <c r="A310" s="0" t="s">
        <v>337</v>
      </c>
      <c r="B310" s="4" t="n">
        <v>45967</v>
      </c>
      <c r="C310" s="0" t="s">
        <v>30</v>
      </c>
      <c r="D310" s="3" t="s">
        <v>28</v>
      </c>
      <c r="E310" s="2" t="n">
        <v>1533</v>
      </c>
      <c r="F310" s="5" t="n">
        <f aca="false">VLOOKUP(D310,Lookup!$A$2:$B$4,2,FALSE())</f>
        <v>0.05</v>
      </c>
      <c r="G310" s="2" t="n">
        <f aca="false">ROUND(E310*F310,2)</f>
        <v>76.65</v>
      </c>
      <c r="H310" s="2" t="n">
        <f aca="false">E310+G310</f>
        <v>1609.65</v>
      </c>
      <c r="I310" s="3" t="s">
        <v>22</v>
      </c>
      <c r="J310" s="0" t="str">
        <f aca="false">_xlfn.XLOOKUP(C310,Departments!$A$2:$A$6,Departments!$B$2:$B$6,"Unknown")</f>
        <v>Technology</v>
      </c>
    </row>
    <row r="311" customFormat="false" ht="15" hidden="false" customHeight="false" outlineLevel="0" collapsed="false">
      <c r="A311" s="0" t="s">
        <v>338</v>
      </c>
      <c r="B311" s="4" t="n">
        <v>45968</v>
      </c>
      <c r="C311" s="0" t="s">
        <v>32</v>
      </c>
      <c r="D311" s="3" t="s">
        <v>21</v>
      </c>
      <c r="E311" s="2" t="n">
        <v>1570</v>
      </c>
      <c r="F311" s="5" t="n">
        <f aca="false">VLOOKUP(D311,Lookup!$A$2:$B$4,2,FALSE())</f>
        <v>0.1</v>
      </c>
      <c r="G311" s="2" t="n">
        <f aca="false">ROUND(E311*F311,2)</f>
        <v>157</v>
      </c>
      <c r="H311" s="2" t="n">
        <f aca="false">E311+G311</f>
        <v>1727</v>
      </c>
      <c r="I311" s="3" t="s">
        <v>22</v>
      </c>
      <c r="J311" s="0" t="str">
        <f aca="false">_xlfn.XLOOKUP(C311,Departments!$A$2:$A$6,Departments!$B$2:$B$6,"Unknown")</f>
        <v>Operations</v>
      </c>
    </row>
    <row r="312" customFormat="false" ht="15" hidden="false" customHeight="false" outlineLevel="0" collapsed="false">
      <c r="A312" s="0" t="s">
        <v>339</v>
      </c>
      <c r="B312" s="4" t="n">
        <v>45969</v>
      </c>
      <c r="C312" s="0" t="s">
        <v>20</v>
      </c>
      <c r="D312" s="3" t="s">
        <v>25</v>
      </c>
      <c r="E312" s="2" t="n">
        <v>1607</v>
      </c>
      <c r="F312" s="5" t="n">
        <f aca="false">VLOOKUP(D312,Lookup!$A$2:$B$4,2,FALSE())</f>
        <v>0.15</v>
      </c>
      <c r="G312" s="2" t="n">
        <f aca="false">ROUND(E312*F312,2)</f>
        <v>241.05</v>
      </c>
      <c r="H312" s="2" t="n">
        <f aca="false">E312+G312</f>
        <v>1848.05</v>
      </c>
      <c r="I312" s="3" t="s">
        <v>22</v>
      </c>
      <c r="J312" s="0" t="str">
        <f aca="false">_xlfn.XLOOKUP(C312,Departments!$A$2:$A$6,Departments!$B$2:$B$6,"Unknown")</f>
        <v>Finance</v>
      </c>
    </row>
    <row r="313" customFormat="false" ht="15" hidden="false" customHeight="false" outlineLevel="0" collapsed="false">
      <c r="A313" s="0" t="s">
        <v>340</v>
      </c>
      <c r="B313" s="4" t="n">
        <v>45970</v>
      </c>
      <c r="C313" s="0" t="s">
        <v>24</v>
      </c>
      <c r="D313" s="3" t="s">
        <v>28</v>
      </c>
      <c r="E313" s="2" t="n">
        <v>1644</v>
      </c>
      <c r="F313" s="5" t="n">
        <f aca="false">VLOOKUP(D313,Lookup!$A$2:$B$4,2,FALSE())</f>
        <v>0.05</v>
      </c>
      <c r="G313" s="2" t="n">
        <f aca="false">ROUND(E313*F313,2)</f>
        <v>82.2</v>
      </c>
      <c r="H313" s="2" t="n">
        <f aca="false">E313+G313</f>
        <v>1726.2</v>
      </c>
      <c r="I313" s="3" t="s">
        <v>22</v>
      </c>
      <c r="J313" s="0" t="str">
        <f aca="false">_xlfn.XLOOKUP(C313,Departments!$A$2:$A$6,Departments!$B$2:$B$6,"Unknown")</f>
        <v>Quality</v>
      </c>
    </row>
    <row r="314" customFormat="false" ht="15" hidden="false" customHeight="false" outlineLevel="0" collapsed="false">
      <c r="A314" s="0" t="s">
        <v>341</v>
      </c>
      <c r="B314" s="4" t="n">
        <v>45971</v>
      </c>
      <c r="C314" s="0" t="s">
        <v>27</v>
      </c>
      <c r="D314" s="3" t="s">
        <v>21</v>
      </c>
      <c r="E314" s="2" t="n">
        <v>1681</v>
      </c>
      <c r="F314" s="5" t="n">
        <f aca="false">VLOOKUP(D314,Lookup!$A$2:$B$4,2,FALSE())</f>
        <v>0.1</v>
      </c>
      <c r="G314" s="2" t="n">
        <f aca="false">ROUND(E314*F314,2)</f>
        <v>168.1</v>
      </c>
      <c r="H314" s="2" t="n">
        <f aca="false">E314+G314</f>
        <v>1849.1</v>
      </c>
      <c r="I314" s="3" t="s">
        <v>22</v>
      </c>
      <c r="J314" s="0" t="str">
        <f aca="false">_xlfn.XLOOKUP(C314,Departments!$A$2:$A$6,Departments!$B$2:$B$6,"Unknown")</f>
        <v>Human Resources</v>
      </c>
    </row>
    <row r="315" customFormat="false" ht="15" hidden="false" customHeight="false" outlineLevel="0" collapsed="false">
      <c r="A315" s="0" t="s">
        <v>342</v>
      </c>
      <c r="B315" s="4" t="n">
        <v>45972</v>
      </c>
      <c r="C315" s="0" t="s">
        <v>30</v>
      </c>
      <c r="D315" s="3" t="s">
        <v>25</v>
      </c>
      <c r="E315" s="2" t="n">
        <v>1718</v>
      </c>
      <c r="F315" s="5" t="n">
        <f aca="false">VLOOKUP(D315,Lookup!$A$2:$B$4,2,FALSE())</f>
        <v>0.15</v>
      </c>
      <c r="G315" s="2" t="n">
        <f aca="false">ROUND(E315*F315,2)</f>
        <v>257.7</v>
      </c>
      <c r="H315" s="2" t="n">
        <f aca="false">E315+G315</f>
        <v>1975.7</v>
      </c>
      <c r="I315" s="3" t="s">
        <v>22</v>
      </c>
      <c r="J315" s="0" t="str">
        <f aca="false">_xlfn.XLOOKUP(C315,Departments!$A$2:$A$6,Departments!$B$2:$B$6,"Unknown")</f>
        <v>Technology</v>
      </c>
    </row>
    <row r="316" customFormat="false" ht="15" hidden="false" customHeight="false" outlineLevel="0" collapsed="false">
      <c r="A316" s="0" t="s">
        <v>343</v>
      </c>
      <c r="B316" s="4" t="n">
        <v>45973</v>
      </c>
      <c r="C316" s="0" t="s">
        <v>32</v>
      </c>
      <c r="D316" s="3" t="s">
        <v>28</v>
      </c>
      <c r="E316" s="2" t="n">
        <v>1755</v>
      </c>
      <c r="F316" s="5" t="n">
        <f aca="false">VLOOKUP(D316,Lookup!$A$2:$B$4,2,FALSE())</f>
        <v>0.05</v>
      </c>
      <c r="G316" s="2" t="n">
        <f aca="false">ROUND(E316*F316,2)</f>
        <v>87.75</v>
      </c>
      <c r="H316" s="2" t="n">
        <f aca="false">E316+G316</f>
        <v>1842.75</v>
      </c>
      <c r="I316" s="3" t="s">
        <v>35</v>
      </c>
      <c r="J316" s="0" t="str">
        <f aca="false">_xlfn.XLOOKUP(C316,Departments!$A$2:$A$6,Departments!$B$2:$B$6,"Unknown")</f>
        <v>Operations</v>
      </c>
    </row>
    <row r="317" customFormat="false" ht="15" hidden="false" customHeight="false" outlineLevel="0" collapsed="false">
      <c r="A317" s="0" t="s">
        <v>344</v>
      </c>
      <c r="B317" s="4" t="n">
        <v>45974</v>
      </c>
      <c r="C317" s="0" t="s">
        <v>20</v>
      </c>
      <c r="D317" s="3" t="s">
        <v>21</v>
      </c>
      <c r="E317" s="2" t="n">
        <v>1792</v>
      </c>
      <c r="F317" s="5" t="n">
        <f aca="false">VLOOKUP(D317,Lookup!$A$2:$B$4,2,FALSE())</f>
        <v>0.1</v>
      </c>
      <c r="G317" s="2" t="n">
        <f aca="false">ROUND(E317*F317,2)</f>
        <v>179.2</v>
      </c>
      <c r="H317" s="2" t="n">
        <f aca="false">E317+G317</f>
        <v>1971.2</v>
      </c>
      <c r="I317" s="3" t="s">
        <v>22</v>
      </c>
      <c r="J317" s="0" t="str">
        <f aca="false">_xlfn.XLOOKUP(C317,Departments!$A$2:$A$6,Departments!$B$2:$B$6,"Unknown")</f>
        <v>Finance</v>
      </c>
    </row>
    <row r="318" customFormat="false" ht="15" hidden="false" customHeight="false" outlineLevel="0" collapsed="false">
      <c r="A318" s="0" t="s">
        <v>345</v>
      </c>
      <c r="B318" s="4" t="n">
        <v>45975</v>
      </c>
      <c r="C318" s="0" t="s">
        <v>24</v>
      </c>
      <c r="D318" s="3" t="s">
        <v>25</v>
      </c>
      <c r="E318" s="2" t="n">
        <v>1829</v>
      </c>
      <c r="F318" s="5" t="n">
        <f aca="false">VLOOKUP(D318,Lookup!$A$2:$B$4,2,FALSE())</f>
        <v>0.15</v>
      </c>
      <c r="G318" s="2" t="n">
        <f aca="false">ROUND(E318*F318,2)</f>
        <v>274.35</v>
      </c>
      <c r="H318" s="2" t="n">
        <f aca="false">E318+G318</f>
        <v>2103.35</v>
      </c>
      <c r="I318" s="3" t="s">
        <v>22</v>
      </c>
      <c r="J318" s="0" t="str">
        <f aca="false">_xlfn.XLOOKUP(C318,Departments!$A$2:$A$6,Departments!$B$2:$B$6,"Unknown")</f>
        <v>Quality</v>
      </c>
    </row>
    <row r="319" customFormat="false" ht="15" hidden="false" customHeight="false" outlineLevel="0" collapsed="false">
      <c r="A319" s="0" t="s">
        <v>346</v>
      </c>
      <c r="B319" s="4" t="n">
        <v>45976</v>
      </c>
      <c r="C319" s="0" t="s">
        <v>27</v>
      </c>
      <c r="D319" s="3" t="s">
        <v>28</v>
      </c>
      <c r="E319" s="2" t="n">
        <v>1866</v>
      </c>
      <c r="F319" s="5" t="n">
        <f aca="false">VLOOKUP(D319,Lookup!$A$2:$B$4,2,FALSE())</f>
        <v>0.05</v>
      </c>
      <c r="G319" s="2" t="n">
        <f aca="false">ROUND(E319*F319,2)</f>
        <v>93.3</v>
      </c>
      <c r="H319" s="2" t="n">
        <f aca="false">E319+G319</f>
        <v>1959.3</v>
      </c>
      <c r="I319" s="3" t="s">
        <v>22</v>
      </c>
      <c r="J319" s="0" t="str">
        <f aca="false">_xlfn.XLOOKUP(C319,Departments!$A$2:$A$6,Departments!$B$2:$B$6,"Unknown")</f>
        <v>Human Resources</v>
      </c>
    </row>
    <row r="320" customFormat="false" ht="15" hidden="false" customHeight="false" outlineLevel="0" collapsed="false">
      <c r="A320" s="0" t="s">
        <v>347</v>
      </c>
      <c r="B320" s="4" t="n">
        <v>45977</v>
      </c>
      <c r="C320" s="0" t="s">
        <v>30</v>
      </c>
      <c r="D320" s="3" t="s">
        <v>21</v>
      </c>
      <c r="E320" s="2" t="n">
        <v>1903</v>
      </c>
      <c r="F320" s="5" t="n">
        <f aca="false">VLOOKUP(D320,Lookup!$A$2:$B$4,2,FALSE())</f>
        <v>0.1</v>
      </c>
      <c r="G320" s="2" t="n">
        <f aca="false">ROUND(E320*F320,2)</f>
        <v>190.3</v>
      </c>
      <c r="H320" s="2" t="n">
        <f aca="false">E320+G320</f>
        <v>2093.3</v>
      </c>
      <c r="I320" s="3" t="s">
        <v>22</v>
      </c>
      <c r="J320" s="0" t="str">
        <f aca="false">_xlfn.XLOOKUP(C320,Departments!$A$2:$A$6,Departments!$B$2:$B$6,"Unknown")</f>
        <v>Technology</v>
      </c>
    </row>
    <row r="321" customFormat="false" ht="15" hidden="false" customHeight="false" outlineLevel="0" collapsed="false">
      <c r="A321" s="0" t="s">
        <v>348</v>
      </c>
      <c r="B321" s="4" t="n">
        <v>45978</v>
      </c>
      <c r="C321" s="0" t="s">
        <v>32</v>
      </c>
      <c r="D321" s="3" t="s">
        <v>25</v>
      </c>
      <c r="E321" s="2" t="n">
        <v>1940</v>
      </c>
      <c r="F321" s="5" t="n">
        <f aca="false">VLOOKUP(D321,Lookup!$A$2:$B$4,2,FALSE())</f>
        <v>0.15</v>
      </c>
      <c r="G321" s="2" t="n">
        <f aca="false">ROUND(E321*F321,2)</f>
        <v>291</v>
      </c>
      <c r="H321" s="2" t="n">
        <f aca="false">E321+G321</f>
        <v>2231</v>
      </c>
      <c r="I321" s="3" t="s">
        <v>22</v>
      </c>
      <c r="J321" s="0" t="str">
        <f aca="false">_xlfn.XLOOKUP(C321,Departments!$A$2:$A$6,Departments!$B$2:$B$6,"Unknown")</f>
        <v>Operations</v>
      </c>
    </row>
    <row r="322" customFormat="false" ht="15" hidden="false" customHeight="false" outlineLevel="0" collapsed="false">
      <c r="A322" s="0" t="s">
        <v>349</v>
      </c>
      <c r="B322" s="4" t="n">
        <v>45979</v>
      </c>
      <c r="C322" s="0" t="s">
        <v>20</v>
      </c>
      <c r="D322" s="3" t="s">
        <v>28</v>
      </c>
      <c r="E322" s="2" t="n">
        <v>1977</v>
      </c>
      <c r="F322" s="5" t="n">
        <f aca="false">VLOOKUP(D322,Lookup!$A$2:$B$4,2,FALSE())</f>
        <v>0.05</v>
      </c>
      <c r="G322" s="2" t="n">
        <f aca="false">ROUND(E322*F322,2)</f>
        <v>98.85</v>
      </c>
      <c r="H322" s="2" t="n">
        <f aca="false">E322+G322</f>
        <v>2075.85</v>
      </c>
      <c r="I322" s="3" t="s">
        <v>22</v>
      </c>
      <c r="J322" s="0" t="str">
        <f aca="false">_xlfn.XLOOKUP(C322,Departments!$A$2:$A$6,Departments!$B$2:$B$6,"Unknown")</f>
        <v>Finance</v>
      </c>
    </row>
    <row r="323" customFormat="false" ht="15" hidden="false" customHeight="false" outlineLevel="0" collapsed="false">
      <c r="A323" s="0" t="s">
        <v>350</v>
      </c>
      <c r="B323" s="4" t="n">
        <v>45980</v>
      </c>
      <c r="C323" s="0" t="s">
        <v>24</v>
      </c>
      <c r="D323" s="3" t="s">
        <v>21</v>
      </c>
      <c r="E323" s="2" t="n">
        <v>2014</v>
      </c>
      <c r="F323" s="5" t="n">
        <f aca="false">VLOOKUP(D323,Lookup!$A$2:$B$4,2,FALSE())</f>
        <v>0.1</v>
      </c>
      <c r="G323" s="2" t="n">
        <f aca="false">ROUND(E323*F323,2)</f>
        <v>201.4</v>
      </c>
      <c r="H323" s="2" t="n">
        <f aca="false">E323+G323</f>
        <v>2215.4</v>
      </c>
      <c r="I323" s="3" t="s">
        <v>35</v>
      </c>
      <c r="J323" s="0" t="str">
        <f aca="false">_xlfn.XLOOKUP(C323,Departments!$A$2:$A$6,Departments!$B$2:$B$6,"Unknown")</f>
        <v>Quality</v>
      </c>
    </row>
    <row r="324" customFormat="false" ht="15" hidden="false" customHeight="false" outlineLevel="0" collapsed="false">
      <c r="A324" s="0" t="s">
        <v>351</v>
      </c>
      <c r="B324" s="4" t="n">
        <v>45981</v>
      </c>
      <c r="C324" s="0" t="s">
        <v>27</v>
      </c>
      <c r="D324" s="3" t="s">
        <v>25</v>
      </c>
      <c r="E324" s="2" t="n">
        <v>2051</v>
      </c>
      <c r="F324" s="5" t="n">
        <f aca="false">VLOOKUP(D324,Lookup!$A$2:$B$4,2,FALSE())</f>
        <v>0.15</v>
      </c>
      <c r="G324" s="2" t="n">
        <f aca="false">ROUND(E324*F324,2)</f>
        <v>307.65</v>
      </c>
      <c r="H324" s="2" t="n">
        <f aca="false">E324+G324</f>
        <v>2358.65</v>
      </c>
      <c r="I324" s="3" t="s">
        <v>22</v>
      </c>
      <c r="J324" s="0" t="str">
        <f aca="false">_xlfn.XLOOKUP(C324,Departments!$A$2:$A$6,Departments!$B$2:$B$6,"Unknown")</f>
        <v>Human Resources</v>
      </c>
    </row>
    <row r="325" customFormat="false" ht="15" hidden="false" customHeight="false" outlineLevel="0" collapsed="false">
      <c r="A325" s="0" t="s">
        <v>352</v>
      </c>
      <c r="B325" s="4" t="n">
        <v>45982</v>
      </c>
      <c r="C325" s="0" t="s">
        <v>30</v>
      </c>
      <c r="D325" s="3" t="s">
        <v>28</v>
      </c>
      <c r="E325" s="2" t="n">
        <v>2088</v>
      </c>
      <c r="F325" s="5" t="n">
        <f aca="false">VLOOKUP(D325,Lookup!$A$2:$B$4,2,FALSE())</f>
        <v>0.05</v>
      </c>
      <c r="G325" s="2" t="n">
        <f aca="false">ROUND(E325*F325,2)</f>
        <v>104.4</v>
      </c>
      <c r="H325" s="2" t="n">
        <f aca="false">E325+G325</f>
        <v>2192.4</v>
      </c>
      <c r="I325" s="3" t="s">
        <v>22</v>
      </c>
      <c r="J325" s="0" t="str">
        <f aca="false">_xlfn.XLOOKUP(C325,Departments!$A$2:$A$6,Departments!$B$2:$B$6,"Unknown")</f>
        <v>Technology</v>
      </c>
    </row>
    <row r="326" customFormat="false" ht="15" hidden="false" customHeight="false" outlineLevel="0" collapsed="false">
      <c r="A326" s="0" t="s">
        <v>353</v>
      </c>
      <c r="B326" s="4" t="n">
        <v>45983</v>
      </c>
      <c r="C326" s="0" t="s">
        <v>32</v>
      </c>
      <c r="D326" s="3" t="s">
        <v>21</v>
      </c>
      <c r="E326" s="2" t="n">
        <v>2125</v>
      </c>
      <c r="F326" s="5" t="n">
        <f aca="false">VLOOKUP(D326,Lookup!$A$2:$B$4,2,FALSE())</f>
        <v>0.1</v>
      </c>
      <c r="G326" s="2" t="n">
        <f aca="false">ROUND(E326*F326,2)</f>
        <v>212.5</v>
      </c>
      <c r="H326" s="2" t="n">
        <f aca="false">E326+G326</f>
        <v>2337.5</v>
      </c>
      <c r="I326" s="3" t="s">
        <v>22</v>
      </c>
      <c r="J326" s="0" t="str">
        <f aca="false">_xlfn.XLOOKUP(C326,Departments!$A$2:$A$6,Departments!$B$2:$B$6,"Unknown")</f>
        <v>Operations</v>
      </c>
    </row>
    <row r="327" customFormat="false" ht="15" hidden="false" customHeight="false" outlineLevel="0" collapsed="false">
      <c r="A327" s="0" t="s">
        <v>354</v>
      </c>
      <c r="B327" s="4" t="n">
        <v>45984</v>
      </c>
      <c r="C327" s="0" t="s">
        <v>20</v>
      </c>
      <c r="D327" s="3" t="s">
        <v>25</v>
      </c>
      <c r="E327" s="2" t="n">
        <v>2162</v>
      </c>
      <c r="F327" s="5" t="n">
        <f aca="false">VLOOKUP(D327,Lookup!$A$2:$B$4,2,FALSE())</f>
        <v>0.15</v>
      </c>
      <c r="G327" s="2" t="n">
        <f aca="false">ROUND(E327*F327,2)</f>
        <v>324.3</v>
      </c>
      <c r="H327" s="2" t="n">
        <f aca="false">E327+G327</f>
        <v>2486.3</v>
      </c>
      <c r="I327" s="3" t="s">
        <v>22</v>
      </c>
      <c r="J327" s="0" t="str">
        <f aca="false">_xlfn.XLOOKUP(C327,Departments!$A$2:$A$6,Departments!$B$2:$B$6,"Unknown")</f>
        <v>Finance</v>
      </c>
    </row>
    <row r="328" customFormat="false" ht="15" hidden="false" customHeight="false" outlineLevel="0" collapsed="false">
      <c r="A328" s="0" t="s">
        <v>355</v>
      </c>
      <c r="B328" s="4" t="n">
        <v>45985</v>
      </c>
      <c r="C328" s="0" t="s">
        <v>24</v>
      </c>
      <c r="D328" s="3" t="s">
        <v>28</v>
      </c>
      <c r="E328" s="2" t="n">
        <v>2199</v>
      </c>
      <c r="F328" s="5" t="n">
        <f aca="false">VLOOKUP(D328,Lookup!$A$2:$B$4,2,FALSE())</f>
        <v>0.05</v>
      </c>
      <c r="G328" s="2" t="n">
        <f aca="false">ROUND(E328*F328,2)</f>
        <v>109.95</v>
      </c>
      <c r="H328" s="2" t="n">
        <f aca="false">E328+G328</f>
        <v>2308.95</v>
      </c>
      <c r="I328" s="3" t="s">
        <v>22</v>
      </c>
      <c r="J328" s="0" t="str">
        <f aca="false">_xlfn.XLOOKUP(C328,Departments!$A$2:$A$6,Departments!$B$2:$B$6,"Unknown")</f>
        <v>Quality</v>
      </c>
    </row>
    <row r="329" customFormat="false" ht="15" hidden="false" customHeight="false" outlineLevel="0" collapsed="false">
      <c r="A329" s="0" t="s">
        <v>356</v>
      </c>
      <c r="B329" s="4" t="n">
        <v>45986</v>
      </c>
      <c r="C329" s="0" t="s">
        <v>27</v>
      </c>
      <c r="D329" s="3" t="s">
        <v>21</v>
      </c>
      <c r="E329" s="2" t="n">
        <v>2236</v>
      </c>
      <c r="F329" s="5" t="n">
        <f aca="false">VLOOKUP(D329,Lookup!$A$2:$B$4,2,FALSE())</f>
        <v>0.1</v>
      </c>
      <c r="G329" s="2" t="n">
        <f aca="false">ROUND(E329*F329,2)</f>
        <v>223.6</v>
      </c>
      <c r="H329" s="2" t="n">
        <f aca="false">E329+G329</f>
        <v>2459.6</v>
      </c>
      <c r="I329" s="3" t="s">
        <v>22</v>
      </c>
      <c r="J329" s="0" t="str">
        <f aca="false">_xlfn.XLOOKUP(C329,Departments!$A$2:$A$6,Departments!$B$2:$B$6,"Unknown")</f>
        <v>Human Resources</v>
      </c>
    </row>
    <row r="330" customFormat="false" ht="15" hidden="false" customHeight="false" outlineLevel="0" collapsed="false">
      <c r="A330" s="0" t="s">
        <v>357</v>
      </c>
      <c r="B330" s="4" t="n">
        <v>45987</v>
      </c>
      <c r="C330" s="0" t="s">
        <v>30</v>
      </c>
      <c r="D330" s="3" t="s">
        <v>25</v>
      </c>
      <c r="E330" s="2" t="n">
        <v>2273</v>
      </c>
      <c r="F330" s="5" t="n">
        <f aca="false">VLOOKUP(D330,Lookup!$A$2:$B$4,2,FALSE())</f>
        <v>0.15</v>
      </c>
      <c r="G330" s="2" t="n">
        <f aca="false">ROUND(E330*F330,2)</f>
        <v>340.95</v>
      </c>
      <c r="H330" s="2" t="n">
        <f aca="false">E330+G330</f>
        <v>2613.95</v>
      </c>
      <c r="I330" s="3" t="s">
        <v>35</v>
      </c>
      <c r="J330" s="0" t="str">
        <f aca="false">_xlfn.XLOOKUP(C330,Departments!$A$2:$A$6,Departments!$B$2:$B$6,"Unknown")</f>
        <v>Technology</v>
      </c>
    </row>
    <row r="331" customFormat="false" ht="15" hidden="false" customHeight="false" outlineLevel="0" collapsed="false">
      <c r="A331" s="0" t="s">
        <v>358</v>
      </c>
      <c r="B331" s="4" t="n">
        <v>45988</v>
      </c>
      <c r="C331" s="0" t="s">
        <v>32</v>
      </c>
      <c r="D331" s="3" t="s">
        <v>28</v>
      </c>
      <c r="E331" s="2" t="n">
        <v>2310</v>
      </c>
      <c r="F331" s="5" t="n">
        <f aca="false">VLOOKUP(D331,Lookup!$A$2:$B$4,2,FALSE())</f>
        <v>0.05</v>
      </c>
      <c r="G331" s="2" t="n">
        <f aca="false">ROUND(E331*F331,2)</f>
        <v>115.5</v>
      </c>
      <c r="H331" s="2" t="n">
        <f aca="false">E331+G331</f>
        <v>2425.5</v>
      </c>
      <c r="I331" s="3" t="s">
        <v>22</v>
      </c>
      <c r="J331" s="0" t="str">
        <f aca="false">_xlfn.XLOOKUP(C331,Departments!$A$2:$A$6,Departments!$B$2:$B$6,"Unknown")</f>
        <v>Operations</v>
      </c>
    </row>
    <row r="332" customFormat="false" ht="15" hidden="false" customHeight="false" outlineLevel="0" collapsed="false">
      <c r="A332" s="0" t="s">
        <v>359</v>
      </c>
      <c r="B332" s="4" t="n">
        <v>45989</v>
      </c>
      <c r="C332" s="0" t="s">
        <v>20</v>
      </c>
      <c r="D332" s="3" t="s">
        <v>21</v>
      </c>
      <c r="E332" s="2" t="n">
        <v>2347</v>
      </c>
      <c r="F332" s="5" t="n">
        <f aca="false">VLOOKUP(D332,Lookup!$A$2:$B$4,2,FALSE())</f>
        <v>0.1</v>
      </c>
      <c r="G332" s="2" t="n">
        <f aca="false">ROUND(E332*F332,2)</f>
        <v>234.7</v>
      </c>
      <c r="H332" s="2" t="n">
        <f aca="false">E332+G332</f>
        <v>2581.7</v>
      </c>
      <c r="I332" s="3" t="s">
        <v>22</v>
      </c>
      <c r="J332" s="0" t="str">
        <f aca="false">_xlfn.XLOOKUP(C332,Departments!$A$2:$A$6,Departments!$B$2:$B$6,"Unknown")</f>
        <v>Finance</v>
      </c>
    </row>
    <row r="333" customFormat="false" ht="15" hidden="false" customHeight="false" outlineLevel="0" collapsed="false">
      <c r="A333" s="0" t="s">
        <v>360</v>
      </c>
      <c r="B333" s="4" t="n">
        <v>45990</v>
      </c>
      <c r="C333" s="0" t="s">
        <v>24</v>
      </c>
      <c r="D333" s="3" t="s">
        <v>25</v>
      </c>
      <c r="E333" s="2" t="n">
        <v>2384</v>
      </c>
      <c r="F333" s="5" t="n">
        <f aca="false">VLOOKUP(D333,Lookup!$A$2:$B$4,2,FALSE())</f>
        <v>0.15</v>
      </c>
      <c r="G333" s="2" t="n">
        <f aca="false">ROUND(E333*F333,2)</f>
        <v>357.6</v>
      </c>
      <c r="H333" s="2" t="n">
        <f aca="false">E333+G333</f>
        <v>2741.6</v>
      </c>
      <c r="I333" s="3" t="s">
        <v>22</v>
      </c>
      <c r="J333" s="0" t="str">
        <f aca="false">_xlfn.XLOOKUP(C333,Departments!$A$2:$A$6,Departments!$B$2:$B$6,"Unknown")</f>
        <v>Quality</v>
      </c>
    </row>
    <row r="334" customFormat="false" ht="15" hidden="false" customHeight="false" outlineLevel="0" collapsed="false">
      <c r="A334" s="0" t="s">
        <v>361</v>
      </c>
      <c r="B334" s="4" t="n">
        <v>45991</v>
      </c>
      <c r="C334" s="0" t="s">
        <v>27</v>
      </c>
      <c r="D334" s="3" t="s">
        <v>28</v>
      </c>
      <c r="E334" s="2" t="n">
        <v>2421</v>
      </c>
      <c r="F334" s="5" t="n">
        <f aca="false">VLOOKUP(D334,Lookup!$A$2:$B$4,2,FALSE())</f>
        <v>0.05</v>
      </c>
      <c r="G334" s="2" t="n">
        <f aca="false">ROUND(E334*F334,2)</f>
        <v>121.05</v>
      </c>
      <c r="H334" s="2" t="n">
        <f aca="false">E334+G334</f>
        <v>2542.05</v>
      </c>
      <c r="I334" s="3" t="s">
        <v>22</v>
      </c>
      <c r="J334" s="0" t="str">
        <f aca="false">_xlfn.XLOOKUP(C334,Departments!$A$2:$A$6,Departments!$B$2:$B$6,"Unknown")</f>
        <v>Human Resources</v>
      </c>
    </row>
    <row r="335" customFormat="false" ht="15" hidden="false" customHeight="false" outlineLevel="0" collapsed="false">
      <c r="A335" s="0" t="s">
        <v>362</v>
      </c>
      <c r="B335" s="4" t="n">
        <v>45992</v>
      </c>
      <c r="C335" s="0" t="s">
        <v>30</v>
      </c>
      <c r="D335" s="3" t="s">
        <v>21</v>
      </c>
      <c r="E335" s="2" t="n">
        <v>2458</v>
      </c>
      <c r="F335" s="5" t="n">
        <f aca="false">VLOOKUP(D335,Lookup!$A$2:$B$4,2,FALSE())</f>
        <v>0.1</v>
      </c>
      <c r="G335" s="2" t="n">
        <f aca="false">ROUND(E335*F335,2)</f>
        <v>245.8</v>
      </c>
      <c r="H335" s="2" t="n">
        <f aca="false">E335+G335</f>
        <v>2703.8</v>
      </c>
      <c r="I335" s="3" t="s">
        <v>22</v>
      </c>
      <c r="J335" s="0" t="str">
        <f aca="false">_xlfn.XLOOKUP(C335,Departments!$A$2:$A$6,Departments!$B$2:$B$6,"Unknown")</f>
        <v>Technology</v>
      </c>
    </row>
    <row r="336" customFormat="false" ht="15" hidden="false" customHeight="false" outlineLevel="0" collapsed="false">
      <c r="A336" s="0" t="s">
        <v>363</v>
      </c>
      <c r="B336" s="4" t="n">
        <v>45993</v>
      </c>
      <c r="C336" s="0" t="s">
        <v>32</v>
      </c>
      <c r="D336" s="3" t="s">
        <v>25</v>
      </c>
      <c r="E336" s="2" t="n">
        <v>2495</v>
      </c>
      <c r="F336" s="5" t="n">
        <f aca="false">VLOOKUP(D336,Lookup!$A$2:$B$4,2,FALSE())</f>
        <v>0.15</v>
      </c>
      <c r="G336" s="2" t="n">
        <f aca="false">ROUND(E336*F336,2)</f>
        <v>374.25</v>
      </c>
      <c r="H336" s="2" t="n">
        <f aca="false">E336+G336</f>
        <v>2869.25</v>
      </c>
      <c r="I336" s="3" t="s">
        <v>22</v>
      </c>
      <c r="J336" s="0" t="str">
        <f aca="false">_xlfn.XLOOKUP(C336,Departments!$A$2:$A$6,Departments!$B$2:$B$6,"Unknown")</f>
        <v>Operations</v>
      </c>
    </row>
    <row r="337" customFormat="false" ht="15" hidden="false" customHeight="false" outlineLevel="0" collapsed="false">
      <c r="A337" s="0" t="s">
        <v>364</v>
      </c>
      <c r="B337" s="4" t="n">
        <v>45994</v>
      </c>
      <c r="C337" s="0" t="s">
        <v>20</v>
      </c>
      <c r="D337" s="3" t="s">
        <v>28</v>
      </c>
      <c r="E337" s="2" t="n">
        <v>2532</v>
      </c>
      <c r="F337" s="5" t="n">
        <f aca="false">VLOOKUP(D337,Lookup!$A$2:$B$4,2,FALSE())</f>
        <v>0.05</v>
      </c>
      <c r="G337" s="2" t="n">
        <f aca="false">ROUND(E337*F337,2)</f>
        <v>126.6</v>
      </c>
      <c r="H337" s="2" t="n">
        <f aca="false">E337+G337</f>
        <v>2658.6</v>
      </c>
      <c r="I337" s="3" t="s">
        <v>35</v>
      </c>
      <c r="J337" s="0" t="str">
        <f aca="false">_xlfn.XLOOKUP(C337,Departments!$A$2:$A$6,Departments!$B$2:$B$6,"Unknown")</f>
        <v>Finance</v>
      </c>
    </row>
    <row r="338" customFormat="false" ht="15" hidden="false" customHeight="false" outlineLevel="0" collapsed="false">
      <c r="A338" s="0" t="s">
        <v>365</v>
      </c>
      <c r="B338" s="4" t="n">
        <v>45995</v>
      </c>
      <c r="C338" s="0" t="s">
        <v>24</v>
      </c>
      <c r="D338" s="3" t="s">
        <v>21</v>
      </c>
      <c r="E338" s="2" t="n">
        <v>2569</v>
      </c>
      <c r="F338" s="5" t="n">
        <f aca="false">VLOOKUP(D338,Lookup!$A$2:$B$4,2,FALSE())</f>
        <v>0.1</v>
      </c>
      <c r="G338" s="2" t="n">
        <f aca="false">ROUND(E338*F338,2)</f>
        <v>256.9</v>
      </c>
      <c r="H338" s="2" t="n">
        <f aca="false">E338+G338</f>
        <v>2825.9</v>
      </c>
      <c r="I338" s="3" t="s">
        <v>22</v>
      </c>
      <c r="J338" s="0" t="str">
        <f aca="false">_xlfn.XLOOKUP(C338,Departments!$A$2:$A$6,Departments!$B$2:$B$6,"Unknown")</f>
        <v>Quality</v>
      </c>
    </row>
    <row r="339" customFormat="false" ht="15" hidden="false" customHeight="false" outlineLevel="0" collapsed="false">
      <c r="A339" s="0" t="s">
        <v>366</v>
      </c>
      <c r="B339" s="4" t="n">
        <v>45996</v>
      </c>
      <c r="C339" s="0" t="s">
        <v>27</v>
      </c>
      <c r="D339" s="3" t="s">
        <v>25</v>
      </c>
      <c r="E339" s="2" t="n">
        <v>2606</v>
      </c>
      <c r="F339" s="5" t="n">
        <f aca="false">VLOOKUP(D339,Lookup!$A$2:$B$4,2,FALSE())</f>
        <v>0.15</v>
      </c>
      <c r="G339" s="2" t="n">
        <f aca="false">ROUND(E339*F339,2)</f>
        <v>390.9</v>
      </c>
      <c r="H339" s="2" t="n">
        <f aca="false">E339+G339</f>
        <v>2996.9</v>
      </c>
      <c r="I339" s="3" t="s">
        <v>22</v>
      </c>
      <c r="J339" s="0" t="str">
        <f aca="false">_xlfn.XLOOKUP(C339,Departments!$A$2:$A$6,Departments!$B$2:$B$6,"Unknown")</f>
        <v>Human Resources</v>
      </c>
    </row>
    <row r="340" customFormat="false" ht="15" hidden="false" customHeight="false" outlineLevel="0" collapsed="false">
      <c r="A340" s="0" t="s">
        <v>367</v>
      </c>
      <c r="B340" s="4" t="n">
        <v>45997</v>
      </c>
      <c r="C340" s="0" t="s">
        <v>30</v>
      </c>
      <c r="D340" s="3" t="s">
        <v>28</v>
      </c>
      <c r="E340" s="2" t="n">
        <v>2643</v>
      </c>
      <c r="F340" s="5" t="n">
        <f aca="false">VLOOKUP(D340,Lookup!$A$2:$B$4,2,FALSE())</f>
        <v>0.05</v>
      </c>
      <c r="G340" s="2" t="n">
        <f aca="false">ROUND(E340*F340,2)</f>
        <v>132.15</v>
      </c>
      <c r="H340" s="2" t="n">
        <f aca="false">E340+G340</f>
        <v>2775.15</v>
      </c>
      <c r="I340" s="3" t="s">
        <v>22</v>
      </c>
      <c r="J340" s="0" t="str">
        <f aca="false">_xlfn.XLOOKUP(C340,Departments!$A$2:$A$6,Departments!$B$2:$B$6,"Unknown")</f>
        <v>Technology</v>
      </c>
    </row>
    <row r="341" customFormat="false" ht="15" hidden="false" customHeight="false" outlineLevel="0" collapsed="false">
      <c r="A341" s="0" t="s">
        <v>368</v>
      </c>
      <c r="B341" s="4" t="n">
        <v>45998</v>
      </c>
      <c r="C341" s="0" t="s">
        <v>32</v>
      </c>
      <c r="D341" s="3" t="s">
        <v>21</v>
      </c>
      <c r="E341" s="2" t="n">
        <v>2680</v>
      </c>
      <c r="F341" s="5" t="n">
        <f aca="false">VLOOKUP(D341,Lookup!$A$2:$B$4,2,FALSE())</f>
        <v>0.1</v>
      </c>
      <c r="G341" s="2" t="n">
        <f aca="false">ROUND(E341*F341,2)</f>
        <v>268</v>
      </c>
      <c r="H341" s="2" t="n">
        <f aca="false">E341+G341</f>
        <v>2948</v>
      </c>
      <c r="I341" s="3" t="s">
        <v>22</v>
      </c>
      <c r="J341" s="0" t="str">
        <f aca="false">_xlfn.XLOOKUP(C341,Departments!$A$2:$A$6,Departments!$B$2:$B$6,"Unknown")</f>
        <v>Operations</v>
      </c>
    </row>
    <row r="342" customFormat="false" ht="15" hidden="false" customHeight="false" outlineLevel="0" collapsed="false">
      <c r="A342" s="0" t="s">
        <v>369</v>
      </c>
      <c r="B342" s="4" t="n">
        <v>45999</v>
      </c>
      <c r="C342" s="0" t="s">
        <v>20</v>
      </c>
      <c r="D342" s="3" t="s">
        <v>25</v>
      </c>
      <c r="E342" s="2" t="n">
        <v>2717</v>
      </c>
      <c r="F342" s="5" t="n">
        <f aca="false">VLOOKUP(D342,Lookup!$A$2:$B$4,2,FALSE())</f>
        <v>0.15</v>
      </c>
      <c r="G342" s="2" t="n">
        <f aca="false">ROUND(E342*F342,2)</f>
        <v>407.55</v>
      </c>
      <c r="H342" s="2" t="n">
        <f aca="false">E342+G342</f>
        <v>3124.55</v>
      </c>
      <c r="I342" s="3" t="s">
        <v>22</v>
      </c>
      <c r="J342" s="0" t="str">
        <f aca="false">_xlfn.XLOOKUP(C342,Departments!$A$2:$A$6,Departments!$B$2:$B$6,"Unknown")</f>
        <v>Finance</v>
      </c>
    </row>
    <row r="343" customFormat="false" ht="15" hidden="false" customHeight="false" outlineLevel="0" collapsed="false">
      <c r="A343" s="0" t="s">
        <v>370</v>
      </c>
      <c r="B343" s="4" t="n">
        <v>46000</v>
      </c>
      <c r="C343" s="0" t="s">
        <v>24</v>
      </c>
      <c r="D343" s="3" t="s">
        <v>28</v>
      </c>
      <c r="E343" s="2" t="n">
        <v>2754</v>
      </c>
      <c r="F343" s="5" t="n">
        <f aca="false">VLOOKUP(D343,Lookup!$A$2:$B$4,2,FALSE())</f>
        <v>0.05</v>
      </c>
      <c r="G343" s="2" t="n">
        <f aca="false">ROUND(E343*F343,2)</f>
        <v>137.7</v>
      </c>
      <c r="H343" s="2" t="n">
        <f aca="false">E343+G343</f>
        <v>2891.7</v>
      </c>
      <c r="I343" s="3" t="s">
        <v>22</v>
      </c>
      <c r="J343" s="0" t="str">
        <f aca="false">_xlfn.XLOOKUP(C343,Departments!$A$2:$A$6,Departments!$B$2:$B$6,"Unknown")</f>
        <v>Quality</v>
      </c>
    </row>
    <row r="344" customFormat="false" ht="15" hidden="false" customHeight="false" outlineLevel="0" collapsed="false">
      <c r="A344" s="0" t="s">
        <v>371</v>
      </c>
      <c r="B344" s="4" t="n">
        <v>46001</v>
      </c>
      <c r="C344" s="0" t="s">
        <v>27</v>
      </c>
      <c r="D344" s="3" t="s">
        <v>21</v>
      </c>
      <c r="E344" s="2" t="n">
        <v>2791</v>
      </c>
      <c r="F344" s="5" t="n">
        <f aca="false">VLOOKUP(D344,Lookup!$A$2:$B$4,2,FALSE())</f>
        <v>0.1</v>
      </c>
      <c r="G344" s="2" t="n">
        <f aca="false">ROUND(E344*F344,2)</f>
        <v>279.1</v>
      </c>
      <c r="H344" s="2" t="n">
        <f aca="false">E344+G344</f>
        <v>3070.1</v>
      </c>
      <c r="I344" s="3" t="s">
        <v>35</v>
      </c>
      <c r="J344" s="0" t="str">
        <f aca="false">_xlfn.XLOOKUP(C344,Departments!$A$2:$A$6,Departments!$B$2:$B$6,"Unknown")</f>
        <v>Human Resources</v>
      </c>
    </row>
    <row r="345" customFormat="false" ht="15" hidden="false" customHeight="false" outlineLevel="0" collapsed="false">
      <c r="A345" s="0" t="s">
        <v>372</v>
      </c>
      <c r="B345" s="4" t="n">
        <v>46002</v>
      </c>
      <c r="C345" s="0" t="s">
        <v>30</v>
      </c>
      <c r="D345" s="3" t="s">
        <v>25</v>
      </c>
      <c r="E345" s="2" t="n">
        <v>2828</v>
      </c>
      <c r="F345" s="5" t="n">
        <f aca="false">VLOOKUP(D345,Lookup!$A$2:$B$4,2,FALSE())</f>
        <v>0.15</v>
      </c>
      <c r="G345" s="2" t="n">
        <f aca="false">ROUND(E345*F345,2)</f>
        <v>424.2</v>
      </c>
      <c r="H345" s="2" t="n">
        <f aca="false">E345+G345</f>
        <v>3252.2</v>
      </c>
      <c r="I345" s="3" t="s">
        <v>22</v>
      </c>
      <c r="J345" s="0" t="str">
        <f aca="false">_xlfn.XLOOKUP(C345,Departments!$A$2:$A$6,Departments!$B$2:$B$6,"Unknown")</f>
        <v>Technology</v>
      </c>
    </row>
    <row r="346" customFormat="false" ht="15" hidden="false" customHeight="false" outlineLevel="0" collapsed="false">
      <c r="A346" s="0" t="s">
        <v>373</v>
      </c>
      <c r="B346" s="4" t="n">
        <v>46003</v>
      </c>
      <c r="C346" s="0" t="s">
        <v>32</v>
      </c>
      <c r="D346" s="3" t="s">
        <v>28</v>
      </c>
      <c r="E346" s="2" t="n">
        <v>2865</v>
      </c>
      <c r="F346" s="5" t="n">
        <f aca="false">VLOOKUP(D346,Lookup!$A$2:$B$4,2,FALSE())</f>
        <v>0.05</v>
      </c>
      <c r="G346" s="2" t="n">
        <f aca="false">ROUND(E346*F346,2)</f>
        <v>143.25</v>
      </c>
      <c r="H346" s="2" t="n">
        <f aca="false">E346+G346</f>
        <v>3008.25</v>
      </c>
      <c r="I346" s="3" t="s">
        <v>22</v>
      </c>
      <c r="J346" s="0" t="str">
        <f aca="false">_xlfn.XLOOKUP(C346,Departments!$A$2:$A$6,Departments!$B$2:$B$6,"Unknown")</f>
        <v>Operations</v>
      </c>
    </row>
    <row r="347" customFormat="false" ht="15" hidden="false" customHeight="false" outlineLevel="0" collapsed="false">
      <c r="A347" s="0" t="s">
        <v>374</v>
      </c>
      <c r="B347" s="4" t="n">
        <v>46004</v>
      </c>
      <c r="C347" s="0" t="s">
        <v>20</v>
      </c>
      <c r="D347" s="3" t="s">
        <v>21</v>
      </c>
      <c r="E347" s="2" t="n">
        <v>2902</v>
      </c>
      <c r="F347" s="5" t="n">
        <f aca="false">VLOOKUP(D347,Lookup!$A$2:$B$4,2,FALSE())</f>
        <v>0.1</v>
      </c>
      <c r="G347" s="2" t="n">
        <f aca="false">ROUND(E347*F347,2)</f>
        <v>290.2</v>
      </c>
      <c r="H347" s="2" t="n">
        <f aca="false">E347+G347</f>
        <v>3192.2</v>
      </c>
      <c r="I347" s="3" t="s">
        <v>22</v>
      </c>
      <c r="J347" s="0" t="str">
        <f aca="false">_xlfn.XLOOKUP(C347,Departments!$A$2:$A$6,Departments!$B$2:$B$6,"Unknown")</f>
        <v>Finance</v>
      </c>
    </row>
    <row r="348" customFormat="false" ht="15" hidden="false" customHeight="false" outlineLevel="0" collapsed="false">
      <c r="A348" s="0" t="s">
        <v>375</v>
      </c>
      <c r="B348" s="4" t="n">
        <v>46005</v>
      </c>
      <c r="C348" s="0" t="s">
        <v>24</v>
      </c>
      <c r="D348" s="3" t="s">
        <v>25</v>
      </c>
      <c r="E348" s="2" t="n">
        <v>2939</v>
      </c>
      <c r="F348" s="5" t="n">
        <f aca="false">VLOOKUP(D348,Lookup!$A$2:$B$4,2,FALSE())</f>
        <v>0.15</v>
      </c>
      <c r="G348" s="2" t="n">
        <f aca="false">ROUND(E348*F348,2)</f>
        <v>440.85</v>
      </c>
      <c r="H348" s="2" t="n">
        <f aca="false">E348+G348</f>
        <v>3379.85</v>
      </c>
      <c r="I348" s="3" t="s">
        <v>22</v>
      </c>
      <c r="J348" s="0" t="str">
        <f aca="false">_xlfn.XLOOKUP(C348,Departments!$A$2:$A$6,Departments!$B$2:$B$6,"Unknown")</f>
        <v>Quality</v>
      </c>
    </row>
    <row r="349" customFormat="false" ht="15" hidden="false" customHeight="false" outlineLevel="0" collapsed="false">
      <c r="A349" s="0" t="s">
        <v>376</v>
      </c>
      <c r="B349" s="4" t="n">
        <v>46006</v>
      </c>
      <c r="C349" s="0" t="s">
        <v>27</v>
      </c>
      <c r="D349" s="3" t="s">
        <v>28</v>
      </c>
      <c r="E349" s="2" t="n">
        <v>2976</v>
      </c>
      <c r="F349" s="5" t="n">
        <f aca="false">VLOOKUP(D349,Lookup!$A$2:$B$4,2,FALSE())</f>
        <v>0.05</v>
      </c>
      <c r="G349" s="2" t="n">
        <f aca="false">ROUND(E349*F349,2)</f>
        <v>148.8</v>
      </c>
      <c r="H349" s="2" t="n">
        <f aca="false">E349+G349</f>
        <v>3124.8</v>
      </c>
      <c r="I349" s="3" t="s">
        <v>22</v>
      </c>
      <c r="J349" s="0" t="str">
        <f aca="false">_xlfn.XLOOKUP(C349,Departments!$A$2:$A$6,Departments!$B$2:$B$6,"Unknown")</f>
        <v>Human Resources</v>
      </c>
    </row>
    <row r="350" customFormat="false" ht="15" hidden="false" customHeight="false" outlineLevel="0" collapsed="false">
      <c r="A350" s="0" t="s">
        <v>377</v>
      </c>
      <c r="B350" s="4" t="n">
        <v>46007</v>
      </c>
      <c r="C350" s="0" t="s">
        <v>30</v>
      </c>
      <c r="D350" s="3" t="s">
        <v>21</v>
      </c>
      <c r="E350" s="2" t="n">
        <v>3013</v>
      </c>
      <c r="F350" s="5" t="n">
        <f aca="false">VLOOKUP(D350,Lookup!$A$2:$B$4,2,FALSE())</f>
        <v>0.1</v>
      </c>
      <c r="G350" s="2" t="n">
        <f aca="false">ROUND(E350*F350,2)</f>
        <v>301.3</v>
      </c>
      <c r="H350" s="2" t="n">
        <f aca="false">E350+G350</f>
        <v>3314.3</v>
      </c>
      <c r="I350" s="3" t="s">
        <v>22</v>
      </c>
      <c r="J350" s="0" t="str">
        <f aca="false">_xlfn.XLOOKUP(C350,Departments!$A$2:$A$6,Departments!$B$2:$B$6,"Unknown")</f>
        <v>Technology</v>
      </c>
    </row>
    <row r="351" customFormat="false" ht="15" hidden="false" customHeight="false" outlineLevel="0" collapsed="false">
      <c r="A351" s="0" t="s">
        <v>378</v>
      </c>
      <c r="B351" s="4" t="n">
        <v>46008</v>
      </c>
      <c r="C351" s="0" t="s">
        <v>32</v>
      </c>
      <c r="D351" s="3" t="s">
        <v>25</v>
      </c>
      <c r="E351" s="2" t="n">
        <v>3050</v>
      </c>
      <c r="F351" s="5" t="n">
        <f aca="false">VLOOKUP(D351,Lookup!$A$2:$B$4,2,FALSE())</f>
        <v>0.15</v>
      </c>
      <c r="G351" s="2" t="n">
        <f aca="false">ROUND(E351*F351,2)</f>
        <v>457.5</v>
      </c>
      <c r="H351" s="2" t="n">
        <f aca="false">E351+G351</f>
        <v>3507.5</v>
      </c>
      <c r="I351" s="3" t="s">
        <v>35</v>
      </c>
      <c r="J351" s="0" t="str">
        <f aca="false">_xlfn.XLOOKUP(C351,Departments!$A$2:$A$6,Departments!$B$2:$B$6,"Unknown")</f>
        <v>Operations</v>
      </c>
    </row>
    <row r="352" customFormat="false" ht="15" hidden="false" customHeight="false" outlineLevel="0" collapsed="false">
      <c r="A352" s="0" t="s">
        <v>379</v>
      </c>
      <c r="B352" s="4" t="n">
        <v>46009</v>
      </c>
      <c r="C352" s="0" t="s">
        <v>20</v>
      </c>
      <c r="D352" s="3" t="s">
        <v>28</v>
      </c>
      <c r="E352" s="2" t="n">
        <v>3087</v>
      </c>
      <c r="F352" s="5" t="n">
        <f aca="false">VLOOKUP(D352,Lookup!$A$2:$B$4,2,FALSE())</f>
        <v>0.05</v>
      </c>
      <c r="G352" s="2" t="n">
        <f aca="false">ROUND(E352*F352,2)</f>
        <v>154.35</v>
      </c>
      <c r="H352" s="2" t="n">
        <f aca="false">E352+G352</f>
        <v>3241.35</v>
      </c>
      <c r="I352" s="3" t="s">
        <v>22</v>
      </c>
      <c r="J352" s="0" t="str">
        <f aca="false">_xlfn.XLOOKUP(C352,Departments!$A$2:$A$6,Departments!$B$2:$B$6,"Unknown")</f>
        <v>Finance</v>
      </c>
    </row>
    <row r="353" customFormat="false" ht="15" hidden="false" customHeight="false" outlineLevel="0" collapsed="false">
      <c r="A353" s="0" t="s">
        <v>380</v>
      </c>
      <c r="B353" s="4" t="n">
        <v>46010</v>
      </c>
      <c r="C353" s="0" t="s">
        <v>24</v>
      </c>
      <c r="D353" s="3" t="s">
        <v>21</v>
      </c>
      <c r="E353" s="2" t="n">
        <v>3124</v>
      </c>
      <c r="F353" s="5" t="n">
        <f aca="false">VLOOKUP(D353,Lookup!$A$2:$B$4,2,FALSE())</f>
        <v>0.1</v>
      </c>
      <c r="G353" s="2" t="n">
        <f aca="false">ROUND(E353*F353,2)</f>
        <v>312.4</v>
      </c>
      <c r="H353" s="2" t="n">
        <f aca="false">E353+G353</f>
        <v>3436.4</v>
      </c>
      <c r="I353" s="3" t="s">
        <v>22</v>
      </c>
      <c r="J353" s="0" t="str">
        <f aca="false">_xlfn.XLOOKUP(C353,Departments!$A$2:$A$6,Departments!$B$2:$B$6,"Unknown")</f>
        <v>Quality</v>
      </c>
    </row>
    <row r="354" customFormat="false" ht="15" hidden="false" customHeight="false" outlineLevel="0" collapsed="false">
      <c r="A354" s="0" t="s">
        <v>381</v>
      </c>
      <c r="B354" s="4" t="n">
        <v>46011</v>
      </c>
      <c r="C354" s="0" t="s">
        <v>27</v>
      </c>
      <c r="D354" s="3" t="s">
        <v>25</v>
      </c>
      <c r="E354" s="2" t="n">
        <v>3161</v>
      </c>
      <c r="F354" s="5" t="n">
        <f aca="false">VLOOKUP(D354,Lookup!$A$2:$B$4,2,FALSE())</f>
        <v>0.15</v>
      </c>
      <c r="G354" s="2" t="n">
        <f aca="false">ROUND(E354*F354,2)</f>
        <v>474.15</v>
      </c>
      <c r="H354" s="2" t="n">
        <f aca="false">E354+G354</f>
        <v>3635.15</v>
      </c>
      <c r="I354" s="3" t="s">
        <v>22</v>
      </c>
      <c r="J354" s="0" t="str">
        <f aca="false">_xlfn.XLOOKUP(C354,Departments!$A$2:$A$6,Departments!$B$2:$B$6,"Unknown")</f>
        <v>Human Resources</v>
      </c>
    </row>
    <row r="355" customFormat="false" ht="15" hidden="false" customHeight="false" outlineLevel="0" collapsed="false">
      <c r="A355" s="0" t="s">
        <v>382</v>
      </c>
      <c r="B355" s="4" t="n">
        <v>46012</v>
      </c>
      <c r="C355" s="0" t="s">
        <v>30</v>
      </c>
      <c r="D355" s="3" t="s">
        <v>28</v>
      </c>
      <c r="E355" s="2" t="n">
        <v>3198</v>
      </c>
      <c r="F355" s="5" t="n">
        <f aca="false">VLOOKUP(D355,Lookup!$A$2:$B$4,2,FALSE())</f>
        <v>0.05</v>
      </c>
      <c r="G355" s="2" t="n">
        <f aca="false">ROUND(E355*F355,2)</f>
        <v>159.9</v>
      </c>
      <c r="H355" s="2" t="n">
        <f aca="false">E355+G355</f>
        <v>3357.9</v>
      </c>
      <c r="I355" s="3" t="s">
        <v>22</v>
      </c>
      <c r="J355" s="0" t="str">
        <f aca="false">_xlfn.XLOOKUP(C355,Departments!$A$2:$A$6,Departments!$B$2:$B$6,"Unknown")</f>
        <v>Technology</v>
      </c>
    </row>
    <row r="356" customFormat="false" ht="15" hidden="false" customHeight="false" outlineLevel="0" collapsed="false">
      <c r="A356" s="0" t="s">
        <v>383</v>
      </c>
      <c r="B356" s="4" t="n">
        <v>46013</v>
      </c>
      <c r="C356" s="0" t="s">
        <v>32</v>
      </c>
      <c r="D356" s="3" t="s">
        <v>21</v>
      </c>
      <c r="E356" s="2" t="n">
        <v>3235</v>
      </c>
      <c r="F356" s="5" t="n">
        <f aca="false">VLOOKUP(D356,Lookup!$A$2:$B$4,2,FALSE())</f>
        <v>0.1</v>
      </c>
      <c r="G356" s="2" t="n">
        <f aca="false">ROUND(E356*F356,2)</f>
        <v>323.5</v>
      </c>
      <c r="H356" s="2" t="n">
        <f aca="false">E356+G356</f>
        <v>3558.5</v>
      </c>
      <c r="I356" s="3" t="s">
        <v>22</v>
      </c>
      <c r="J356" s="0" t="str">
        <f aca="false">_xlfn.XLOOKUP(C356,Departments!$A$2:$A$6,Departments!$B$2:$B$6,"Unknown")</f>
        <v>Operations</v>
      </c>
    </row>
    <row r="357" customFormat="false" ht="15" hidden="false" customHeight="false" outlineLevel="0" collapsed="false">
      <c r="A357" s="0" t="s">
        <v>384</v>
      </c>
      <c r="B357" s="4" t="n">
        <v>46014</v>
      </c>
      <c r="C357" s="0" t="s">
        <v>20</v>
      </c>
      <c r="D357" s="3" t="s">
        <v>25</v>
      </c>
      <c r="E357" s="2" t="n">
        <v>3272</v>
      </c>
      <c r="F357" s="5" t="n">
        <f aca="false">VLOOKUP(D357,Lookup!$A$2:$B$4,2,FALSE())</f>
        <v>0.15</v>
      </c>
      <c r="G357" s="2" t="n">
        <f aca="false">ROUND(E357*F357,2)</f>
        <v>490.8</v>
      </c>
      <c r="H357" s="2" t="n">
        <f aca="false">E357+G357</f>
        <v>3762.8</v>
      </c>
      <c r="I357" s="3" t="s">
        <v>22</v>
      </c>
      <c r="J357" s="0" t="str">
        <f aca="false">_xlfn.XLOOKUP(C357,Departments!$A$2:$A$6,Departments!$B$2:$B$6,"Unknown")</f>
        <v>Finance</v>
      </c>
    </row>
    <row r="358" customFormat="false" ht="15" hidden="false" customHeight="false" outlineLevel="0" collapsed="false">
      <c r="A358" s="0" t="s">
        <v>385</v>
      </c>
      <c r="B358" s="4" t="n">
        <v>46015</v>
      </c>
      <c r="C358" s="0" t="s">
        <v>24</v>
      </c>
      <c r="D358" s="3" t="s">
        <v>28</v>
      </c>
      <c r="E358" s="2" t="n">
        <v>3309</v>
      </c>
      <c r="F358" s="5" t="n">
        <f aca="false">VLOOKUP(D358,Lookup!$A$2:$B$4,2,FALSE())</f>
        <v>0.05</v>
      </c>
      <c r="G358" s="2" t="n">
        <f aca="false">ROUND(E358*F358,2)</f>
        <v>165.45</v>
      </c>
      <c r="H358" s="2" t="n">
        <f aca="false">E358+G358</f>
        <v>3474.45</v>
      </c>
      <c r="I358" s="3" t="s">
        <v>35</v>
      </c>
      <c r="J358" s="0" t="str">
        <f aca="false">_xlfn.XLOOKUP(C358,Departments!$A$2:$A$6,Departments!$B$2:$B$6,"Unknown")</f>
        <v>Quality</v>
      </c>
    </row>
    <row r="359" customFormat="false" ht="15" hidden="false" customHeight="false" outlineLevel="0" collapsed="false">
      <c r="A359" s="0" t="s">
        <v>386</v>
      </c>
      <c r="B359" s="4" t="n">
        <v>46016</v>
      </c>
      <c r="C359" s="0" t="s">
        <v>27</v>
      </c>
      <c r="D359" s="3" t="s">
        <v>21</v>
      </c>
      <c r="E359" s="2" t="n">
        <v>3346</v>
      </c>
      <c r="F359" s="5" t="n">
        <f aca="false">VLOOKUP(D359,Lookup!$A$2:$B$4,2,FALSE())</f>
        <v>0.1</v>
      </c>
      <c r="G359" s="2" t="n">
        <f aca="false">ROUND(E359*F359,2)</f>
        <v>334.6</v>
      </c>
      <c r="H359" s="2" t="n">
        <f aca="false">E359+G359</f>
        <v>3680.6</v>
      </c>
      <c r="I359" s="3" t="s">
        <v>22</v>
      </c>
      <c r="J359" s="0" t="str">
        <f aca="false">_xlfn.XLOOKUP(C359,Departments!$A$2:$A$6,Departments!$B$2:$B$6,"Unknown")</f>
        <v>Human Resources</v>
      </c>
    </row>
    <row r="360" customFormat="false" ht="15" hidden="false" customHeight="false" outlineLevel="0" collapsed="false">
      <c r="A360" s="0" t="s">
        <v>387</v>
      </c>
      <c r="B360" s="4" t="n">
        <v>46017</v>
      </c>
      <c r="C360" s="0" t="s">
        <v>30</v>
      </c>
      <c r="D360" s="3" t="s">
        <v>25</v>
      </c>
      <c r="E360" s="2" t="n">
        <v>3383</v>
      </c>
      <c r="F360" s="5" t="n">
        <f aca="false">VLOOKUP(D360,Lookup!$A$2:$B$4,2,FALSE())</f>
        <v>0.15</v>
      </c>
      <c r="G360" s="2" t="n">
        <f aca="false">ROUND(E360*F360,2)</f>
        <v>507.45</v>
      </c>
      <c r="H360" s="2" t="n">
        <f aca="false">E360+G360</f>
        <v>3890.45</v>
      </c>
      <c r="I360" s="3" t="s">
        <v>22</v>
      </c>
      <c r="J360" s="0" t="str">
        <f aca="false">_xlfn.XLOOKUP(C360,Departments!$A$2:$A$6,Departments!$B$2:$B$6,"Unknown")</f>
        <v>Technology</v>
      </c>
    </row>
    <row r="361" customFormat="false" ht="15" hidden="false" customHeight="false" outlineLevel="0" collapsed="false">
      <c r="A361" s="0" t="s">
        <v>388</v>
      </c>
      <c r="B361" s="4" t="n">
        <v>46018</v>
      </c>
      <c r="C361" s="0" t="s">
        <v>32</v>
      </c>
      <c r="D361" s="3" t="s">
        <v>28</v>
      </c>
      <c r="E361" s="2" t="n">
        <v>3420</v>
      </c>
      <c r="F361" s="5" t="n">
        <f aca="false">VLOOKUP(D361,Lookup!$A$2:$B$4,2,FALSE())</f>
        <v>0.05</v>
      </c>
      <c r="G361" s="2" t="n">
        <f aca="false">ROUND(E361*F361,2)</f>
        <v>171</v>
      </c>
      <c r="H361" s="2" t="n">
        <f aca="false">E361+G361</f>
        <v>3591</v>
      </c>
      <c r="I361" s="3" t="s">
        <v>22</v>
      </c>
      <c r="J361" s="0" t="str">
        <f aca="false">_xlfn.XLOOKUP(C361,Departments!$A$2:$A$6,Departments!$B$2:$B$6,"Unknown")</f>
        <v>Operations</v>
      </c>
    </row>
    <row r="362" customFormat="false" ht="15" hidden="false" customHeight="false" outlineLevel="0" collapsed="false">
      <c r="A362" s="0" t="s">
        <v>389</v>
      </c>
      <c r="B362" s="4" t="n">
        <v>46019</v>
      </c>
      <c r="C362" s="0" t="s">
        <v>20</v>
      </c>
      <c r="D362" s="3" t="s">
        <v>21</v>
      </c>
      <c r="E362" s="2" t="n">
        <v>3457</v>
      </c>
      <c r="F362" s="5" t="n">
        <f aca="false">VLOOKUP(D362,Lookup!$A$2:$B$4,2,FALSE())</f>
        <v>0.1</v>
      </c>
      <c r="G362" s="2" t="n">
        <f aca="false">ROUND(E362*F362,2)</f>
        <v>345.7</v>
      </c>
      <c r="H362" s="2" t="n">
        <f aca="false">E362+G362</f>
        <v>3802.7</v>
      </c>
      <c r="I362" s="3" t="s">
        <v>22</v>
      </c>
      <c r="J362" s="0" t="str">
        <f aca="false">_xlfn.XLOOKUP(C362,Departments!$A$2:$A$6,Departments!$B$2:$B$6,"Unknown")</f>
        <v>Finance</v>
      </c>
    </row>
    <row r="363" customFormat="false" ht="15" hidden="false" customHeight="false" outlineLevel="0" collapsed="false">
      <c r="A363" s="0" t="s">
        <v>390</v>
      </c>
      <c r="B363" s="4" t="n">
        <v>46020</v>
      </c>
      <c r="C363" s="0" t="s">
        <v>24</v>
      </c>
      <c r="D363" s="3" t="s">
        <v>25</v>
      </c>
      <c r="E363" s="2" t="n">
        <v>3494</v>
      </c>
      <c r="F363" s="5" t="n">
        <f aca="false">VLOOKUP(D363,Lookup!$A$2:$B$4,2,FALSE())</f>
        <v>0.15</v>
      </c>
      <c r="G363" s="2" t="n">
        <f aca="false">ROUND(E363*F363,2)</f>
        <v>524.1</v>
      </c>
      <c r="H363" s="2" t="n">
        <f aca="false">E363+G363</f>
        <v>4018.1</v>
      </c>
      <c r="I363" s="3" t="s">
        <v>22</v>
      </c>
      <c r="J363" s="0" t="str">
        <f aca="false">_xlfn.XLOOKUP(C363,Departments!$A$2:$A$6,Departments!$B$2:$B$6,"Unknown")</f>
        <v>Quality</v>
      </c>
    </row>
    <row r="364" customFormat="false" ht="15" hidden="false" customHeight="false" outlineLevel="0" collapsed="false">
      <c r="A364" s="0" t="s">
        <v>391</v>
      </c>
      <c r="B364" s="4" t="n">
        <v>46021</v>
      </c>
      <c r="C364" s="0" t="s">
        <v>27</v>
      </c>
      <c r="D364" s="3" t="s">
        <v>28</v>
      </c>
      <c r="E364" s="2" t="n">
        <v>3531</v>
      </c>
      <c r="F364" s="5" t="n">
        <f aca="false">VLOOKUP(D364,Lookup!$A$2:$B$4,2,FALSE())</f>
        <v>0.05</v>
      </c>
      <c r="G364" s="2" t="n">
        <f aca="false">ROUND(E364*F364,2)</f>
        <v>176.55</v>
      </c>
      <c r="H364" s="2" t="n">
        <f aca="false">E364+G364</f>
        <v>3707.55</v>
      </c>
      <c r="I364" s="3" t="s">
        <v>22</v>
      </c>
      <c r="J364" s="0" t="str">
        <f aca="false">_xlfn.XLOOKUP(C364,Departments!$A$2:$A$6,Departments!$B$2:$B$6,"Unknown")</f>
        <v>Human Resources</v>
      </c>
    </row>
    <row r="365" customFormat="false" ht="15" hidden="false" customHeight="false" outlineLevel="0" collapsed="false">
      <c r="A365" s="0" t="s">
        <v>392</v>
      </c>
      <c r="B365" s="4" t="n">
        <v>46022</v>
      </c>
      <c r="C365" s="0" t="s">
        <v>30</v>
      </c>
      <c r="D365" s="3" t="s">
        <v>21</v>
      </c>
      <c r="E365" s="2" t="n">
        <v>3568</v>
      </c>
      <c r="F365" s="5" t="n">
        <f aca="false">VLOOKUP(D365,Lookup!$A$2:$B$4,2,FALSE())</f>
        <v>0.1</v>
      </c>
      <c r="G365" s="2" t="n">
        <f aca="false">ROUND(E365*F365,2)</f>
        <v>356.8</v>
      </c>
      <c r="H365" s="2" t="n">
        <f aca="false">E365+G365</f>
        <v>3924.8</v>
      </c>
      <c r="I365" s="3" t="s">
        <v>35</v>
      </c>
      <c r="J365" s="0" t="str">
        <f aca="false">_xlfn.XLOOKUP(C365,Departments!$A$2:$A$6,Departments!$B$2:$B$6,"Unknown")</f>
        <v>Technology</v>
      </c>
    </row>
    <row r="366" customFormat="false" ht="15" hidden="false" customHeight="false" outlineLevel="0" collapsed="false">
      <c r="A366" s="0" t="s">
        <v>393</v>
      </c>
      <c r="B366" s="4" t="n">
        <v>45658</v>
      </c>
      <c r="C366" s="0" t="s">
        <v>32</v>
      </c>
      <c r="D366" s="3" t="s">
        <v>25</v>
      </c>
      <c r="E366" s="2" t="n">
        <v>3605</v>
      </c>
      <c r="F366" s="5" t="n">
        <f aca="false">VLOOKUP(D366,Lookup!$A$2:$B$4,2,FALSE())</f>
        <v>0.15</v>
      </c>
      <c r="G366" s="2" t="n">
        <f aca="false">ROUND(E366*F366,2)</f>
        <v>540.75</v>
      </c>
      <c r="H366" s="2" t="n">
        <f aca="false">E366+G366</f>
        <v>4145.75</v>
      </c>
      <c r="I366" s="3" t="s">
        <v>22</v>
      </c>
      <c r="J366" s="0" t="str">
        <f aca="false">_xlfn.XLOOKUP(C366,Departments!$A$2:$A$6,Departments!$B$2:$B$6,"Unknown")</f>
        <v>Operations</v>
      </c>
    </row>
    <row r="367" customFormat="false" ht="15" hidden="false" customHeight="false" outlineLevel="0" collapsed="false">
      <c r="A367" s="0" t="s">
        <v>394</v>
      </c>
      <c r="B367" s="4" t="n">
        <v>45659</v>
      </c>
      <c r="C367" s="0" t="s">
        <v>20</v>
      </c>
      <c r="D367" s="3" t="s">
        <v>28</v>
      </c>
      <c r="E367" s="2" t="n">
        <v>3642</v>
      </c>
      <c r="F367" s="5" t="n">
        <f aca="false">VLOOKUP(D367,Lookup!$A$2:$B$4,2,FALSE())</f>
        <v>0.05</v>
      </c>
      <c r="G367" s="2" t="n">
        <f aca="false">ROUND(E367*F367,2)</f>
        <v>182.1</v>
      </c>
      <c r="H367" s="2" t="n">
        <f aca="false">E367+G367</f>
        <v>3824.1</v>
      </c>
      <c r="I367" s="3" t="s">
        <v>22</v>
      </c>
      <c r="J367" s="0" t="str">
        <f aca="false">_xlfn.XLOOKUP(C367,Departments!$A$2:$A$6,Departments!$B$2:$B$6,"Unknown")</f>
        <v>Finance</v>
      </c>
    </row>
    <row r="368" customFormat="false" ht="15" hidden="false" customHeight="false" outlineLevel="0" collapsed="false">
      <c r="A368" s="0" t="s">
        <v>395</v>
      </c>
      <c r="B368" s="4" t="n">
        <v>45660</v>
      </c>
      <c r="C368" s="0" t="s">
        <v>24</v>
      </c>
      <c r="D368" s="3" t="s">
        <v>21</v>
      </c>
      <c r="E368" s="2" t="n">
        <v>3679</v>
      </c>
      <c r="F368" s="5" t="n">
        <f aca="false">VLOOKUP(D368,Lookup!$A$2:$B$4,2,FALSE())</f>
        <v>0.1</v>
      </c>
      <c r="G368" s="2" t="n">
        <f aca="false">ROUND(E368*F368,2)</f>
        <v>367.9</v>
      </c>
      <c r="H368" s="2" t="n">
        <f aca="false">E368+G368</f>
        <v>4046.9</v>
      </c>
      <c r="I368" s="3" t="s">
        <v>22</v>
      </c>
      <c r="J368" s="0" t="str">
        <f aca="false">_xlfn.XLOOKUP(C368,Departments!$A$2:$A$6,Departments!$B$2:$B$6,"Unknown")</f>
        <v>Quality</v>
      </c>
    </row>
    <row r="369" customFormat="false" ht="15" hidden="false" customHeight="false" outlineLevel="0" collapsed="false">
      <c r="A369" s="0" t="s">
        <v>396</v>
      </c>
      <c r="B369" s="4" t="n">
        <v>45661</v>
      </c>
      <c r="C369" s="0" t="s">
        <v>27</v>
      </c>
      <c r="D369" s="3" t="s">
        <v>25</v>
      </c>
      <c r="E369" s="2" t="n">
        <v>3716</v>
      </c>
      <c r="F369" s="5" t="n">
        <f aca="false">VLOOKUP(D369,Lookup!$A$2:$B$4,2,FALSE())</f>
        <v>0.15</v>
      </c>
      <c r="G369" s="2" t="n">
        <f aca="false">ROUND(E369*F369,2)</f>
        <v>557.4</v>
      </c>
      <c r="H369" s="2" t="n">
        <f aca="false">E369+G369</f>
        <v>4273.4</v>
      </c>
      <c r="I369" s="3" t="s">
        <v>22</v>
      </c>
      <c r="J369" s="0" t="str">
        <f aca="false">_xlfn.XLOOKUP(C369,Departments!$A$2:$A$6,Departments!$B$2:$B$6,"Unknown")</f>
        <v>Human Resources</v>
      </c>
    </row>
    <row r="370" customFormat="false" ht="15" hidden="false" customHeight="false" outlineLevel="0" collapsed="false">
      <c r="A370" s="0" t="s">
        <v>397</v>
      </c>
      <c r="B370" s="4" t="n">
        <v>45662</v>
      </c>
      <c r="C370" s="0" t="s">
        <v>30</v>
      </c>
      <c r="D370" s="3" t="s">
        <v>28</v>
      </c>
      <c r="E370" s="2" t="n">
        <v>3753</v>
      </c>
      <c r="F370" s="5" t="n">
        <f aca="false">VLOOKUP(D370,Lookup!$A$2:$B$4,2,FALSE())</f>
        <v>0.05</v>
      </c>
      <c r="G370" s="2" t="n">
        <f aca="false">ROUND(E370*F370,2)</f>
        <v>187.65</v>
      </c>
      <c r="H370" s="2" t="n">
        <f aca="false">E370+G370</f>
        <v>3940.65</v>
      </c>
      <c r="I370" s="3" t="s">
        <v>22</v>
      </c>
      <c r="J370" s="0" t="str">
        <f aca="false">_xlfn.XLOOKUP(C370,Departments!$A$2:$A$6,Departments!$B$2:$B$6,"Unknown")</f>
        <v>Technology</v>
      </c>
    </row>
    <row r="371" customFormat="false" ht="15" hidden="false" customHeight="false" outlineLevel="0" collapsed="false">
      <c r="A371" s="0" t="s">
        <v>398</v>
      </c>
      <c r="B371" s="4" t="n">
        <v>45663</v>
      </c>
      <c r="C371" s="0" t="s">
        <v>32</v>
      </c>
      <c r="D371" s="3" t="s">
        <v>21</v>
      </c>
      <c r="E371" s="2" t="n">
        <v>3790</v>
      </c>
      <c r="F371" s="5" t="n">
        <f aca="false">VLOOKUP(D371,Lookup!$A$2:$B$4,2,FALSE())</f>
        <v>0.1</v>
      </c>
      <c r="G371" s="2" t="n">
        <f aca="false">ROUND(E371*F371,2)</f>
        <v>379</v>
      </c>
      <c r="H371" s="2" t="n">
        <f aca="false">E371+G371</f>
        <v>4169</v>
      </c>
      <c r="I371" s="3" t="s">
        <v>22</v>
      </c>
      <c r="J371" s="0" t="str">
        <f aca="false">_xlfn.XLOOKUP(C371,Departments!$A$2:$A$6,Departments!$B$2:$B$6,"Unknown")</f>
        <v>Operations</v>
      </c>
    </row>
    <row r="372" customFormat="false" ht="15" hidden="false" customHeight="false" outlineLevel="0" collapsed="false">
      <c r="A372" s="0" t="s">
        <v>399</v>
      </c>
      <c r="B372" s="4" t="n">
        <v>45664</v>
      </c>
      <c r="C372" s="0" t="s">
        <v>20</v>
      </c>
      <c r="D372" s="3" t="s">
        <v>25</v>
      </c>
      <c r="E372" s="2" t="n">
        <v>3827</v>
      </c>
      <c r="F372" s="5" t="n">
        <f aca="false">VLOOKUP(D372,Lookup!$A$2:$B$4,2,FALSE())</f>
        <v>0.15</v>
      </c>
      <c r="G372" s="2" t="n">
        <f aca="false">ROUND(E372*F372,2)</f>
        <v>574.05</v>
      </c>
      <c r="H372" s="2" t="n">
        <f aca="false">E372+G372</f>
        <v>4401.05</v>
      </c>
      <c r="I372" s="3" t="s">
        <v>35</v>
      </c>
      <c r="J372" s="0" t="str">
        <f aca="false">_xlfn.XLOOKUP(C372,Departments!$A$2:$A$6,Departments!$B$2:$B$6,"Unknown")</f>
        <v>Finance</v>
      </c>
    </row>
    <row r="373" customFormat="false" ht="15" hidden="false" customHeight="false" outlineLevel="0" collapsed="false">
      <c r="A373" s="0" t="s">
        <v>400</v>
      </c>
      <c r="B373" s="4" t="n">
        <v>45665</v>
      </c>
      <c r="C373" s="0" t="s">
        <v>24</v>
      </c>
      <c r="D373" s="3" t="s">
        <v>28</v>
      </c>
      <c r="E373" s="2" t="n">
        <v>3864</v>
      </c>
      <c r="F373" s="5" t="n">
        <f aca="false">VLOOKUP(D373,Lookup!$A$2:$B$4,2,FALSE())</f>
        <v>0.05</v>
      </c>
      <c r="G373" s="2" t="n">
        <f aca="false">ROUND(E373*F373,2)</f>
        <v>193.2</v>
      </c>
      <c r="H373" s="2" t="n">
        <f aca="false">E373+G373</f>
        <v>4057.2</v>
      </c>
      <c r="I373" s="3" t="s">
        <v>22</v>
      </c>
      <c r="J373" s="0" t="str">
        <f aca="false">_xlfn.XLOOKUP(C373,Departments!$A$2:$A$6,Departments!$B$2:$B$6,"Unknown")</f>
        <v>Quality</v>
      </c>
    </row>
    <row r="374" customFormat="false" ht="15" hidden="false" customHeight="false" outlineLevel="0" collapsed="false">
      <c r="A374" s="0" t="s">
        <v>401</v>
      </c>
      <c r="B374" s="4" t="n">
        <v>45666</v>
      </c>
      <c r="C374" s="0" t="s">
        <v>27</v>
      </c>
      <c r="D374" s="3" t="s">
        <v>21</v>
      </c>
      <c r="E374" s="2" t="n">
        <v>3901</v>
      </c>
      <c r="F374" s="5" t="n">
        <f aca="false">VLOOKUP(D374,Lookup!$A$2:$B$4,2,FALSE())</f>
        <v>0.1</v>
      </c>
      <c r="G374" s="2" t="n">
        <f aca="false">ROUND(E374*F374,2)</f>
        <v>390.1</v>
      </c>
      <c r="H374" s="2" t="n">
        <f aca="false">E374+G374</f>
        <v>4291.1</v>
      </c>
      <c r="I374" s="3" t="s">
        <v>22</v>
      </c>
      <c r="J374" s="0" t="str">
        <f aca="false">_xlfn.XLOOKUP(C374,Departments!$A$2:$A$6,Departments!$B$2:$B$6,"Unknown")</f>
        <v>Human Resources</v>
      </c>
    </row>
    <row r="375" customFormat="false" ht="15" hidden="false" customHeight="false" outlineLevel="0" collapsed="false">
      <c r="A375" s="0" t="s">
        <v>402</v>
      </c>
      <c r="B375" s="4" t="n">
        <v>45667</v>
      </c>
      <c r="C375" s="0" t="s">
        <v>30</v>
      </c>
      <c r="D375" s="3" t="s">
        <v>25</v>
      </c>
      <c r="E375" s="2" t="n">
        <v>3938</v>
      </c>
      <c r="F375" s="5" t="n">
        <f aca="false">VLOOKUP(D375,Lookup!$A$2:$B$4,2,FALSE())</f>
        <v>0.15</v>
      </c>
      <c r="G375" s="2" t="n">
        <f aca="false">ROUND(E375*F375,2)</f>
        <v>590.7</v>
      </c>
      <c r="H375" s="2" t="n">
        <f aca="false">E375+G375</f>
        <v>4528.7</v>
      </c>
      <c r="I375" s="3" t="s">
        <v>22</v>
      </c>
      <c r="J375" s="0" t="str">
        <f aca="false">_xlfn.XLOOKUP(C375,Departments!$A$2:$A$6,Departments!$B$2:$B$6,"Unknown")</f>
        <v>Technology</v>
      </c>
    </row>
    <row r="376" customFormat="false" ht="15" hidden="false" customHeight="false" outlineLevel="0" collapsed="false">
      <c r="A376" s="0" t="s">
        <v>403</v>
      </c>
      <c r="B376" s="4" t="n">
        <v>45668</v>
      </c>
      <c r="C376" s="0" t="s">
        <v>32</v>
      </c>
      <c r="D376" s="3" t="s">
        <v>28</v>
      </c>
      <c r="E376" s="2" t="n">
        <v>3975</v>
      </c>
      <c r="F376" s="5" t="n">
        <f aca="false">VLOOKUP(D376,Lookup!$A$2:$B$4,2,FALSE())</f>
        <v>0.05</v>
      </c>
      <c r="G376" s="2" t="n">
        <f aca="false">ROUND(E376*F376,2)</f>
        <v>198.75</v>
      </c>
      <c r="H376" s="2" t="n">
        <f aca="false">E376+G376</f>
        <v>4173.75</v>
      </c>
      <c r="I376" s="3" t="s">
        <v>22</v>
      </c>
      <c r="J376" s="0" t="str">
        <f aca="false">_xlfn.XLOOKUP(C376,Departments!$A$2:$A$6,Departments!$B$2:$B$6,"Unknown")</f>
        <v>Operations</v>
      </c>
    </row>
    <row r="377" customFormat="false" ht="15" hidden="false" customHeight="false" outlineLevel="0" collapsed="false">
      <c r="A377" s="0" t="s">
        <v>404</v>
      </c>
      <c r="B377" s="4" t="n">
        <v>45669</v>
      </c>
      <c r="C377" s="0" t="s">
        <v>20</v>
      </c>
      <c r="D377" s="3" t="s">
        <v>21</v>
      </c>
      <c r="E377" s="2" t="n">
        <v>4012</v>
      </c>
      <c r="F377" s="5" t="n">
        <f aca="false">VLOOKUP(D377,Lookup!$A$2:$B$4,2,FALSE())</f>
        <v>0.1</v>
      </c>
      <c r="G377" s="2" t="n">
        <f aca="false">ROUND(E377*F377,2)</f>
        <v>401.2</v>
      </c>
      <c r="H377" s="2" t="n">
        <f aca="false">E377+G377</f>
        <v>4413.2</v>
      </c>
      <c r="I377" s="3" t="s">
        <v>22</v>
      </c>
      <c r="J377" s="0" t="str">
        <f aca="false">_xlfn.XLOOKUP(C377,Departments!$A$2:$A$6,Departments!$B$2:$B$6,"Unknown")</f>
        <v>Finance</v>
      </c>
    </row>
    <row r="378" customFormat="false" ht="15" hidden="false" customHeight="false" outlineLevel="0" collapsed="false">
      <c r="A378" s="0" t="s">
        <v>405</v>
      </c>
      <c r="B378" s="4" t="n">
        <v>45670</v>
      </c>
      <c r="C378" s="0" t="s">
        <v>24</v>
      </c>
      <c r="D378" s="3" t="s">
        <v>25</v>
      </c>
      <c r="E378" s="2" t="n">
        <v>4049</v>
      </c>
      <c r="F378" s="5" t="n">
        <f aca="false">VLOOKUP(D378,Lookup!$A$2:$B$4,2,FALSE())</f>
        <v>0.15</v>
      </c>
      <c r="G378" s="2" t="n">
        <f aca="false">ROUND(E378*F378,2)</f>
        <v>607.35</v>
      </c>
      <c r="H378" s="2" t="n">
        <f aca="false">E378+G378</f>
        <v>4656.35</v>
      </c>
      <c r="I378" s="3" t="s">
        <v>22</v>
      </c>
      <c r="J378" s="0" t="str">
        <f aca="false">_xlfn.XLOOKUP(C378,Departments!$A$2:$A$6,Departments!$B$2:$B$6,"Unknown")</f>
        <v>Quality</v>
      </c>
    </row>
    <row r="379" customFormat="false" ht="15" hidden="false" customHeight="false" outlineLevel="0" collapsed="false">
      <c r="A379" s="0" t="s">
        <v>406</v>
      </c>
      <c r="B379" s="4" t="n">
        <v>45671</v>
      </c>
      <c r="C379" s="0" t="s">
        <v>27</v>
      </c>
      <c r="D379" s="3" t="s">
        <v>28</v>
      </c>
      <c r="E379" s="2" t="n">
        <v>4086</v>
      </c>
      <c r="F379" s="5" t="n">
        <f aca="false">VLOOKUP(D379,Lookup!$A$2:$B$4,2,FALSE())</f>
        <v>0.05</v>
      </c>
      <c r="G379" s="2" t="n">
        <f aca="false">ROUND(E379*F379,2)</f>
        <v>204.3</v>
      </c>
      <c r="H379" s="2" t="n">
        <f aca="false">E379+G379</f>
        <v>4290.3</v>
      </c>
      <c r="I379" s="3" t="s">
        <v>35</v>
      </c>
      <c r="J379" s="0" t="str">
        <f aca="false">_xlfn.XLOOKUP(C379,Departments!$A$2:$A$6,Departments!$B$2:$B$6,"Unknown")</f>
        <v>Human Resources</v>
      </c>
    </row>
    <row r="380" customFormat="false" ht="15" hidden="false" customHeight="false" outlineLevel="0" collapsed="false">
      <c r="A380" s="0" t="s">
        <v>407</v>
      </c>
      <c r="B380" s="4" t="n">
        <v>45672</v>
      </c>
      <c r="C380" s="0" t="s">
        <v>30</v>
      </c>
      <c r="D380" s="3" t="s">
        <v>21</v>
      </c>
      <c r="E380" s="2" t="n">
        <v>4123</v>
      </c>
      <c r="F380" s="5" t="n">
        <f aca="false">VLOOKUP(D380,Lookup!$A$2:$B$4,2,FALSE())</f>
        <v>0.1</v>
      </c>
      <c r="G380" s="2" t="n">
        <f aca="false">ROUND(E380*F380,2)</f>
        <v>412.3</v>
      </c>
      <c r="H380" s="2" t="n">
        <f aca="false">E380+G380</f>
        <v>4535.3</v>
      </c>
      <c r="I380" s="3" t="s">
        <v>22</v>
      </c>
      <c r="J380" s="0" t="str">
        <f aca="false">_xlfn.XLOOKUP(C380,Departments!$A$2:$A$6,Departments!$B$2:$B$6,"Unknown")</f>
        <v>Technology</v>
      </c>
    </row>
    <row r="381" customFormat="false" ht="15" hidden="false" customHeight="false" outlineLevel="0" collapsed="false">
      <c r="A381" s="0" t="s">
        <v>408</v>
      </c>
      <c r="B381" s="4" t="n">
        <v>45673</v>
      </c>
      <c r="C381" s="0" t="s">
        <v>32</v>
      </c>
      <c r="D381" s="3" t="s">
        <v>25</v>
      </c>
      <c r="E381" s="2" t="n">
        <v>4160</v>
      </c>
      <c r="F381" s="5" t="n">
        <f aca="false">VLOOKUP(D381,Lookup!$A$2:$B$4,2,FALSE())</f>
        <v>0.15</v>
      </c>
      <c r="G381" s="2" t="n">
        <f aca="false">ROUND(E381*F381,2)</f>
        <v>624</v>
      </c>
      <c r="H381" s="2" t="n">
        <f aca="false">E381+G381</f>
        <v>4784</v>
      </c>
      <c r="I381" s="3" t="s">
        <v>22</v>
      </c>
      <c r="J381" s="0" t="str">
        <f aca="false">_xlfn.XLOOKUP(C381,Departments!$A$2:$A$6,Departments!$B$2:$B$6,"Unknown")</f>
        <v>Operations</v>
      </c>
    </row>
    <row r="382" customFormat="false" ht="15" hidden="false" customHeight="false" outlineLevel="0" collapsed="false">
      <c r="A382" s="0" t="s">
        <v>409</v>
      </c>
      <c r="B382" s="4" t="n">
        <v>45674</v>
      </c>
      <c r="C382" s="0" t="s">
        <v>20</v>
      </c>
      <c r="D382" s="3" t="s">
        <v>28</v>
      </c>
      <c r="E382" s="2" t="n">
        <v>4197</v>
      </c>
      <c r="F382" s="5" t="n">
        <f aca="false">VLOOKUP(D382,Lookup!$A$2:$B$4,2,FALSE())</f>
        <v>0.05</v>
      </c>
      <c r="G382" s="2" t="n">
        <f aca="false">ROUND(E382*F382,2)</f>
        <v>209.85</v>
      </c>
      <c r="H382" s="2" t="n">
        <f aca="false">E382+G382</f>
        <v>4406.85</v>
      </c>
      <c r="I382" s="3" t="s">
        <v>22</v>
      </c>
      <c r="J382" s="0" t="str">
        <f aca="false">_xlfn.XLOOKUP(C382,Departments!$A$2:$A$6,Departments!$B$2:$B$6,"Unknown")</f>
        <v>Finance</v>
      </c>
    </row>
    <row r="383" customFormat="false" ht="15" hidden="false" customHeight="false" outlineLevel="0" collapsed="false">
      <c r="A383" s="0" t="s">
        <v>410</v>
      </c>
      <c r="B383" s="4" t="n">
        <v>45675</v>
      </c>
      <c r="C383" s="0" t="s">
        <v>24</v>
      </c>
      <c r="D383" s="3" t="s">
        <v>21</v>
      </c>
      <c r="E383" s="2" t="n">
        <v>4234</v>
      </c>
      <c r="F383" s="5" t="n">
        <f aca="false">VLOOKUP(D383,Lookup!$A$2:$B$4,2,FALSE())</f>
        <v>0.1</v>
      </c>
      <c r="G383" s="2" t="n">
        <f aca="false">ROUND(E383*F383,2)</f>
        <v>423.4</v>
      </c>
      <c r="H383" s="2" t="n">
        <f aca="false">E383+G383</f>
        <v>4657.4</v>
      </c>
      <c r="I383" s="3" t="s">
        <v>22</v>
      </c>
      <c r="J383" s="0" t="str">
        <f aca="false">_xlfn.XLOOKUP(C383,Departments!$A$2:$A$6,Departments!$B$2:$B$6,"Unknown")</f>
        <v>Quality</v>
      </c>
    </row>
    <row r="384" customFormat="false" ht="15" hidden="false" customHeight="false" outlineLevel="0" collapsed="false">
      <c r="A384" s="0" t="s">
        <v>411</v>
      </c>
      <c r="B384" s="4" t="n">
        <v>45676</v>
      </c>
      <c r="C384" s="0" t="s">
        <v>27</v>
      </c>
      <c r="D384" s="3" t="s">
        <v>25</v>
      </c>
      <c r="E384" s="2" t="n">
        <v>4271</v>
      </c>
      <c r="F384" s="5" t="n">
        <f aca="false">VLOOKUP(D384,Lookup!$A$2:$B$4,2,FALSE())</f>
        <v>0.15</v>
      </c>
      <c r="G384" s="2" t="n">
        <f aca="false">ROUND(E384*F384,2)</f>
        <v>640.65</v>
      </c>
      <c r="H384" s="2" t="n">
        <f aca="false">E384+G384</f>
        <v>4911.65</v>
      </c>
      <c r="I384" s="3" t="s">
        <v>22</v>
      </c>
      <c r="J384" s="0" t="str">
        <f aca="false">_xlfn.XLOOKUP(C384,Departments!$A$2:$A$6,Departments!$B$2:$B$6,"Unknown")</f>
        <v>Human Resources</v>
      </c>
    </row>
    <row r="385" customFormat="false" ht="15" hidden="false" customHeight="false" outlineLevel="0" collapsed="false">
      <c r="A385" s="0" t="s">
        <v>412</v>
      </c>
      <c r="B385" s="4" t="n">
        <v>45677</v>
      </c>
      <c r="C385" s="0" t="s">
        <v>30</v>
      </c>
      <c r="D385" s="3" t="s">
        <v>28</v>
      </c>
      <c r="E385" s="2" t="n">
        <v>4308</v>
      </c>
      <c r="F385" s="5" t="n">
        <f aca="false">VLOOKUP(D385,Lookup!$A$2:$B$4,2,FALSE())</f>
        <v>0.05</v>
      </c>
      <c r="G385" s="2" t="n">
        <f aca="false">ROUND(E385*F385,2)</f>
        <v>215.4</v>
      </c>
      <c r="H385" s="2" t="n">
        <f aca="false">E385+G385</f>
        <v>4523.4</v>
      </c>
      <c r="I385" s="3" t="s">
        <v>22</v>
      </c>
      <c r="J385" s="0" t="str">
        <f aca="false">_xlfn.XLOOKUP(C385,Departments!$A$2:$A$6,Departments!$B$2:$B$6,"Unknown")</f>
        <v>Technology</v>
      </c>
    </row>
    <row r="386" customFormat="false" ht="15" hidden="false" customHeight="false" outlineLevel="0" collapsed="false">
      <c r="A386" s="0" t="s">
        <v>413</v>
      </c>
      <c r="B386" s="4" t="n">
        <v>45678</v>
      </c>
      <c r="C386" s="0" t="s">
        <v>32</v>
      </c>
      <c r="D386" s="3" t="s">
        <v>21</v>
      </c>
      <c r="E386" s="2" t="n">
        <v>4345</v>
      </c>
      <c r="F386" s="5" t="n">
        <f aca="false">VLOOKUP(D386,Lookup!$A$2:$B$4,2,FALSE())</f>
        <v>0.1</v>
      </c>
      <c r="G386" s="2" t="n">
        <f aca="false">ROUND(E386*F386,2)</f>
        <v>434.5</v>
      </c>
      <c r="H386" s="2" t="n">
        <f aca="false">E386+G386</f>
        <v>4779.5</v>
      </c>
      <c r="I386" s="3" t="s">
        <v>35</v>
      </c>
      <c r="J386" s="0" t="str">
        <f aca="false">_xlfn.XLOOKUP(C386,Departments!$A$2:$A$6,Departments!$B$2:$B$6,"Unknown")</f>
        <v>Operations</v>
      </c>
    </row>
    <row r="387" customFormat="false" ht="15" hidden="false" customHeight="false" outlineLevel="0" collapsed="false">
      <c r="A387" s="0" t="s">
        <v>414</v>
      </c>
      <c r="B387" s="4" t="n">
        <v>45679</v>
      </c>
      <c r="C387" s="0" t="s">
        <v>20</v>
      </c>
      <c r="D387" s="3" t="s">
        <v>25</v>
      </c>
      <c r="E387" s="2" t="n">
        <v>4382</v>
      </c>
      <c r="F387" s="5" t="n">
        <f aca="false">VLOOKUP(D387,Lookup!$A$2:$B$4,2,FALSE())</f>
        <v>0.15</v>
      </c>
      <c r="G387" s="2" t="n">
        <f aca="false">ROUND(E387*F387,2)</f>
        <v>657.3</v>
      </c>
      <c r="H387" s="2" t="n">
        <f aca="false">E387+G387</f>
        <v>5039.3</v>
      </c>
      <c r="I387" s="3" t="s">
        <v>22</v>
      </c>
      <c r="J387" s="0" t="str">
        <f aca="false">_xlfn.XLOOKUP(C387,Departments!$A$2:$A$6,Departments!$B$2:$B$6,"Unknown")</f>
        <v>Finance</v>
      </c>
    </row>
    <row r="388" customFormat="false" ht="15" hidden="false" customHeight="false" outlineLevel="0" collapsed="false">
      <c r="A388" s="0" t="s">
        <v>415</v>
      </c>
      <c r="B388" s="4" t="n">
        <v>45680</v>
      </c>
      <c r="C388" s="0" t="s">
        <v>24</v>
      </c>
      <c r="D388" s="3" t="s">
        <v>28</v>
      </c>
      <c r="E388" s="2" t="n">
        <v>4419</v>
      </c>
      <c r="F388" s="5" t="n">
        <f aca="false">VLOOKUP(D388,Lookup!$A$2:$B$4,2,FALSE())</f>
        <v>0.05</v>
      </c>
      <c r="G388" s="2" t="n">
        <f aca="false">ROUND(E388*F388,2)</f>
        <v>220.95</v>
      </c>
      <c r="H388" s="2" t="n">
        <f aca="false">E388+G388</f>
        <v>4639.95</v>
      </c>
      <c r="I388" s="3" t="s">
        <v>22</v>
      </c>
      <c r="J388" s="0" t="str">
        <f aca="false">_xlfn.XLOOKUP(C388,Departments!$A$2:$A$6,Departments!$B$2:$B$6,"Unknown")</f>
        <v>Quality</v>
      </c>
    </row>
    <row r="389" customFormat="false" ht="15" hidden="false" customHeight="false" outlineLevel="0" collapsed="false">
      <c r="A389" s="0" t="s">
        <v>416</v>
      </c>
      <c r="B389" s="4" t="n">
        <v>45681</v>
      </c>
      <c r="C389" s="0" t="s">
        <v>27</v>
      </c>
      <c r="D389" s="3" t="s">
        <v>21</v>
      </c>
      <c r="E389" s="2" t="n">
        <v>4456</v>
      </c>
      <c r="F389" s="5" t="n">
        <f aca="false">VLOOKUP(D389,Lookup!$A$2:$B$4,2,FALSE())</f>
        <v>0.1</v>
      </c>
      <c r="G389" s="2" t="n">
        <f aca="false">ROUND(E389*F389,2)</f>
        <v>445.6</v>
      </c>
      <c r="H389" s="2" t="n">
        <f aca="false">E389+G389</f>
        <v>4901.6</v>
      </c>
      <c r="I389" s="3" t="s">
        <v>22</v>
      </c>
      <c r="J389" s="0" t="str">
        <f aca="false">_xlfn.XLOOKUP(C389,Departments!$A$2:$A$6,Departments!$B$2:$B$6,"Unknown")</f>
        <v>Human Resources</v>
      </c>
    </row>
    <row r="390" customFormat="false" ht="15" hidden="false" customHeight="false" outlineLevel="0" collapsed="false">
      <c r="A390" s="0" t="s">
        <v>417</v>
      </c>
      <c r="B390" s="4" t="n">
        <v>45682</v>
      </c>
      <c r="C390" s="0" t="s">
        <v>30</v>
      </c>
      <c r="D390" s="3" t="s">
        <v>25</v>
      </c>
      <c r="E390" s="2" t="n">
        <v>4493</v>
      </c>
      <c r="F390" s="5" t="n">
        <f aca="false">VLOOKUP(D390,Lookup!$A$2:$B$4,2,FALSE())</f>
        <v>0.15</v>
      </c>
      <c r="G390" s="2" t="n">
        <f aca="false">ROUND(E390*F390,2)</f>
        <v>673.95</v>
      </c>
      <c r="H390" s="2" t="n">
        <f aca="false">E390+G390</f>
        <v>5166.95</v>
      </c>
      <c r="I390" s="3" t="s">
        <v>22</v>
      </c>
      <c r="J390" s="0" t="str">
        <f aca="false">_xlfn.XLOOKUP(C390,Departments!$A$2:$A$6,Departments!$B$2:$B$6,"Unknown")</f>
        <v>Technology</v>
      </c>
    </row>
    <row r="391" customFormat="false" ht="15" hidden="false" customHeight="false" outlineLevel="0" collapsed="false">
      <c r="A391" s="0" t="s">
        <v>418</v>
      </c>
      <c r="B391" s="4" t="n">
        <v>45683</v>
      </c>
      <c r="C391" s="0" t="s">
        <v>32</v>
      </c>
      <c r="D391" s="3" t="s">
        <v>28</v>
      </c>
      <c r="E391" s="2" t="n">
        <v>4530</v>
      </c>
      <c r="F391" s="5" t="n">
        <f aca="false">VLOOKUP(D391,Lookup!$A$2:$B$4,2,FALSE())</f>
        <v>0.05</v>
      </c>
      <c r="G391" s="2" t="n">
        <f aca="false">ROUND(E391*F391,2)</f>
        <v>226.5</v>
      </c>
      <c r="H391" s="2" t="n">
        <f aca="false">E391+G391</f>
        <v>4756.5</v>
      </c>
      <c r="I391" s="3" t="s">
        <v>22</v>
      </c>
      <c r="J391" s="0" t="str">
        <f aca="false">_xlfn.XLOOKUP(C391,Departments!$A$2:$A$6,Departments!$B$2:$B$6,"Unknown")</f>
        <v>Operations</v>
      </c>
    </row>
    <row r="392" customFormat="false" ht="15" hidden="false" customHeight="false" outlineLevel="0" collapsed="false">
      <c r="A392" s="0" t="s">
        <v>419</v>
      </c>
      <c r="B392" s="4" t="n">
        <v>45684</v>
      </c>
      <c r="C392" s="0" t="s">
        <v>20</v>
      </c>
      <c r="D392" s="3" t="s">
        <v>21</v>
      </c>
      <c r="E392" s="2" t="n">
        <v>4567</v>
      </c>
      <c r="F392" s="5" t="n">
        <f aca="false">VLOOKUP(D392,Lookup!$A$2:$B$4,2,FALSE())</f>
        <v>0.1</v>
      </c>
      <c r="G392" s="2" t="n">
        <f aca="false">ROUND(E392*F392,2)</f>
        <v>456.7</v>
      </c>
      <c r="H392" s="2" t="n">
        <f aca="false">E392+G392</f>
        <v>5023.7</v>
      </c>
      <c r="I392" s="3" t="s">
        <v>22</v>
      </c>
      <c r="J392" s="0" t="str">
        <f aca="false">_xlfn.XLOOKUP(C392,Departments!$A$2:$A$6,Departments!$B$2:$B$6,"Unknown")</f>
        <v>Finance</v>
      </c>
    </row>
    <row r="393" customFormat="false" ht="15" hidden="false" customHeight="false" outlineLevel="0" collapsed="false">
      <c r="A393" s="0" t="s">
        <v>420</v>
      </c>
      <c r="B393" s="4" t="n">
        <v>45685</v>
      </c>
      <c r="C393" s="0" t="s">
        <v>24</v>
      </c>
      <c r="D393" s="3" t="s">
        <v>25</v>
      </c>
      <c r="E393" s="2" t="n">
        <v>4604</v>
      </c>
      <c r="F393" s="5" t="n">
        <f aca="false">VLOOKUP(D393,Lookup!$A$2:$B$4,2,FALSE())</f>
        <v>0.15</v>
      </c>
      <c r="G393" s="2" t="n">
        <f aca="false">ROUND(E393*F393,2)</f>
        <v>690.6</v>
      </c>
      <c r="H393" s="2" t="n">
        <f aca="false">E393+G393</f>
        <v>5294.6</v>
      </c>
      <c r="I393" s="3" t="s">
        <v>35</v>
      </c>
      <c r="J393" s="0" t="str">
        <f aca="false">_xlfn.XLOOKUP(C393,Departments!$A$2:$A$6,Departments!$B$2:$B$6,"Unknown")</f>
        <v>Quality</v>
      </c>
    </row>
    <row r="394" customFormat="false" ht="15" hidden="false" customHeight="false" outlineLevel="0" collapsed="false">
      <c r="A394" s="0" t="s">
        <v>421</v>
      </c>
      <c r="B394" s="4" t="n">
        <v>45686</v>
      </c>
      <c r="C394" s="0" t="s">
        <v>27</v>
      </c>
      <c r="D394" s="3" t="s">
        <v>28</v>
      </c>
      <c r="E394" s="2" t="n">
        <v>4641</v>
      </c>
      <c r="F394" s="5" t="n">
        <f aca="false">VLOOKUP(D394,Lookup!$A$2:$B$4,2,FALSE())</f>
        <v>0.05</v>
      </c>
      <c r="G394" s="2" t="n">
        <f aca="false">ROUND(E394*F394,2)</f>
        <v>232.05</v>
      </c>
      <c r="H394" s="2" t="n">
        <f aca="false">E394+G394</f>
        <v>4873.05</v>
      </c>
      <c r="I394" s="3" t="s">
        <v>22</v>
      </c>
      <c r="J394" s="0" t="str">
        <f aca="false">_xlfn.XLOOKUP(C394,Departments!$A$2:$A$6,Departments!$B$2:$B$6,"Unknown")</f>
        <v>Human Resources</v>
      </c>
    </row>
    <row r="395" customFormat="false" ht="15" hidden="false" customHeight="false" outlineLevel="0" collapsed="false">
      <c r="A395" s="0" t="s">
        <v>422</v>
      </c>
      <c r="B395" s="4" t="n">
        <v>45687</v>
      </c>
      <c r="C395" s="0" t="s">
        <v>30</v>
      </c>
      <c r="D395" s="3" t="s">
        <v>21</v>
      </c>
      <c r="E395" s="2" t="n">
        <v>4678</v>
      </c>
      <c r="F395" s="5" t="n">
        <f aca="false">VLOOKUP(D395,Lookup!$A$2:$B$4,2,FALSE())</f>
        <v>0.1</v>
      </c>
      <c r="G395" s="2" t="n">
        <f aca="false">ROUND(E395*F395,2)</f>
        <v>467.8</v>
      </c>
      <c r="H395" s="2" t="n">
        <f aca="false">E395+G395</f>
        <v>5145.8</v>
      </c>
      <c r="I395" s="3" t="s">
        <v>22</v>
      </c>
      <c r="J395" s="0" t="str">
        <f aca="false">_xlfn.XLOOKUP(C395,Departments!$A$2:$A$6,Departments!$B$2:$B$6,"Unknown")</f>
        <v>Technology</v>
      </c>
    </row>
    <row r="396" customFormat="false" ht="15" hidden="false" customHeight="false" outlineLevel="0" collapsed="false">
      <c r="A396" s="0" t="s">
        <v>423</v>
      </c>
      <c r="B396" s="4" t="n">
        <v>45688</v>
      </c>
      <c r="C396" s="0" t="s">
        <v>32</v>
      </c>
      <c r="D396" s="3" t="s">
        <v>25</v>
      </c>
      <c r="E396" s="2" t="n">
        <v>4715</v>
      </c>
      <c r="F396" s="5" t="n">
        <f aca="false">VLOOKUP(D396,Lookup!$A$2:$B$4,2,FALSE())</f>
        <v>0.15</v>
      </c>
      <c r="G396" s="2" t="n">
        <f aca="false">ROUND(E396*F396,2)</f>
        <v>707.25</v>
      </c>
      <c r="H396" s="2" t="n">
        <f aca="false">E396+G396</f>
        <v>5422.25</v>
      </c>
      <c r="I396" s="3" t="s">
        <v>22</v>
      </c>
      <c r="J396" s="0" t="str">
        <f aca="false">_xlfn.XLOOKUP(C396,Departments!$A$2:$A$6,Departments!$B$2:$B$6,"Unknown")</f>
        <v>Operations</v>
      </c>
    </row>
    <row r="397" customFormat="false" ht="15" hidden="false" customHeight="false" outlineLevel="0" collapsed="false">
      <c r="A397" s="0" t="s">
        <v>424</v>
      </c>
      <c r="B397" s="4" t="n">
        <v>45689</v>
      </c>
      <c r="C397" s="0" t="s">
        <v>20</v>
      </c>
      <c r="D397" s="3" t="s">
        <v>28</v>
      </c>
      <c r="E397" s="2" t="n">
        <v>4752</v>
      </c>
      <c r="F397" s="5" t="n">
        <f aca="false">VLOOKUP(D397,Lookup!$A$2:$B$4,2,FALSE())</f>
        <v>0.05</v>
      </c>
      <c r="G397" s="2" t="n">
        <f aca="false">ROUND(E397*F397,2)</f>
        <v>237.6</v>
      </c>
      <c r="H397" s="2" t="n">
        <f aca="false">E397+G397</f>
        <v>4989.6</v>
      </c>
      <c r="I397" s="3" t="s">
        <v>22</v>
      </c>
      <c r="J397" s="0" t="str">
        <f aca="false">_xlfn.XLOOKUP(C397,Departments!$A$2:$A$6,Departments!$B$2:$B$6,"Unknown")</f>
        <v>Finance</v>
      </c>
    </row>
    <row r="398" customFormat="false" ht="15" hidden="false" customHeight="false" outlineLevel="0" collapsed="false">
      <c r="A398" s="0" t="s">
        <v>425</v>
      </c>
      <c r="B398" s="4" t="n">
        <v>45690</v>
      </c>
      <c r="C398" s="0" t="s">
        <v>24</v>
      </c>
      <c r="D398" s="3" t="s">
        <v>21</v>
      </c>
      <c r="E398" s="2" t="n">
        <v>4789</v>
      </c>
      <c r="F398" s="5" t="n">
        <f aca="false">VLOOKUP(D398,Lookup!$A$2:$B$4,2,FALSE())</f>
        <v>0.1</v>
      </c>
      <c r="G398" s="2" t="n">
        <f aca="false">ROUND(E398*F398,2)</f>
        <v>478.9</v>
      </c>
      <c r="H398" s="2" t="n">
        <f aca="false">E398+G398</f>
        <v>5267.9</v>
      </c>
      <c r="I398" s="3" t="s">
        <v>22</v>
      </c>
      <c r="J398" s="0" t="str">
        <f aca="false">_xlfn.XLOOKUP(C398,Departments!$A$2:$A$6,Departments!$B$2:$B$6,"Unknown")</f>
        <v>Quality</v>
      </c>
    </row>
    <row r="399" customFormat="false" ht="15" hidden="false" customHeight="false" outlineLevel="0" collapsed="false">
      <c r="A399" s="0" t="s">
        <v>426</v>
      </c>
      <c r="B399" s="4" t="n">
        <v>45691</v>
      </c>
      <c r="C399" s="0" t="s">
        <v>27</v>
      </c>
      <c r="D399" s="3" t="s">
        <v>25</v>
      </c>
      <c r="E399" s="2" t="n">
        <v>4826</v>
      </c>
      <c r="F399" s="5" t="n">
        <f aca="false">VLOOKUP(D399,Lookup!$A$2:$B$4,2,FALSE())</f>
        <v>0.15</v>
      </c>
      <c r="G399" s="2" t="n">
        <f aca="false">ROUND(E399*F399,2)</f>
        <v>723.9</v>
      </c>
      <c r="H399" s="2" t="n">
        <f aca="false">E399+G399</f>
        <v>5549.9</v>
      </c>
      <c r="I399" s="3" t="s">
        <v>22</v>
      </c>
      <c r="J399" s="0" t="str">
        <f aca="false">_xlfn.XLOOKUP(C399,Departments!$A$2:$A$6,Departments!$B$2:$B$6,"Unknown")</f>
        <v>Human Resources</v>
      </c>
    </row>
    <row r="400" customFormat="false" ht="15" hidden="false" customHeight="false" outlineLevel="0" collapsed="false">
      <c r="A400" s="0" t="s">
        <v>427</v>
      </c>
      <c r="B400" s="4" t="n">
        <v>45692</v>
      </c>
      <c r="C400" s="0" t="s">
        <v>30</v>
      </c>
      <c r="D400" s="3" t="s">
        <v>28</v>
      </c>
      <c r="E400" s="2" t="n">
        <v>4863</v>
      </c>
      <c r="F400" s="5" t="n">
        <f aca="false">VLOOKUP(D400,Lookup!$A$2:$B$4,2,FALSE())</f>
        <v>0.05</v>
      </c>
      <c r="G400" s="2" t="n">
        <f aca="false">ROUND(E400*F400,2)</f>
        <v>243.15</v>
      </c>
      <c r="H400" s="2" t="n">
        <f aca="false">E400+G400</f>
        <v>5106.15</v>
      </c>
      <c r="I400" s="3" t="s">
        <v>35</v>
      </c>
      <c r="J400" s="0" t="str">
        <f aca="false">_xlfn.XLOOKUP(C400,Departments!$A$2:$A$6,Departments!$B$2:$B$6,"Unknown")</f>
        <v>Technology</v>
      </c>
    </row>
    <row r="401" customFormat="false" ht="15" hidden="false" customHeight="false" outlineLevel="0" collapsed="false">
      <c r="A401" s="0" t="s">
        <v>428</v>
      </c>
      <c r="B401" s="4" t="n">
        <v>45693</v>
      </c>
      <c r="C401" s="0" t="s">
        <v>32</v>
      </c>
      <c r="D401" s="3" t="s">
        <v>21</v>
      </c>
      <c r="E401" s="2" t="n">
        <v>4900</v>
      </c>
      <c r="F401" s="5" t="n">
        <f aca="false">VLOOKUP(D401,Lookup!$A$2:$B$4,2,FALSE())</f>
        <v>0.1</v>
      </c>
      <c r="G401" s="2" t="n">
        <f aca="false">ROUND(E401*F401,2)</f>
        <v>490</v>
      </c>
      <c r="H401" s="2" t="n">
        <f aca="false">E401+G401</f>
        <v>5390</v>
      </c>
      <c r="I401" s="3" t="s">
        <v>22</v>
      </c>
      <c r="J401" s="0" t="str">
        <f aca="false">_xlfn.XLOOKUP(C401,Departments!$A$2:$A$6,Departments!$B$2:$B$6,"Unknown")</f>
        <v>Operations</v>
      </c>
    </row>
    <row r="402" customFormat="false" ht="15" hidden="false" customHeight="false" outlineLevel="0" collapsed="false">
      <c r="A402" s="0" t="s">
        <v>429</v>
      </c>
      <c r="B402" s="4" t="n">
        <v>45694</v>
      </c>
      <c r="C402" s="0" t="s">
        <v>20</v>
      </c>
      <c r="D402" s="3" t="s">
        <v>25</v>
      </c>
      <c r="E402" s="2" t="n">
        <v>4937</v>
      </c>
      <c r="F402" s="5" t="n">
        <f aca="false">VLOOKUP(D402,Lookup!$A$2:$B$4,2,FALSE())</f>
        <v>0.15</v>
      </c>
      <c r="G402" s="2" t="n">
        <f aca="false">ROUND(E402*F402,2)</f>
        <v>740.55</v>
      </c>
      <c r="H402" s="2" t="n">
        <f aca="false">E402+G402</f>
        <v>5677.55</v>
      </c>
      <c r="I402" s="3" t="s">
        <v>22</v>
      </c>
      <c r="J402" s="0" t="str">
        <f aca="false">_xlfn.XLOOKUP(C402,Departments!$A$2:$A$6,Departments!$B$2:$B$6,"Unknown")</f>
        <v>Finance</v>
      </c>
    </row>
    <row r="403" customFormat="false" ht="15" hidden="false" customHeight="false" outlineLevel="0" collapsed="false">
      <c r="A403" s="0" t="s">
        <v>430</v>
      </c>
      <c r="B403" s="4" t="n">
        <v>45695</v>
      </c>
      <c r="C403" s="0" t="s">
        <v>24</v>
      </c>
      <c r="D403" s="3" t="s">
        <v>28</v>
      </c>
      <c r="E403" s="2" t="n">
        <v>4974</v>
      </c>
      <c r="F403" s="5" t="n">
        <f aca="false">VLOOKUP(D403,Lookup!$A$2:$B$4,2,FALSE())</f>
        <v>0.05</v>
      </c>
      <c r="G403" s="2" t="n">
        <f aca="false">ROUND(E403*F403,2)</f>
        <v>248.7</v>
      </c>
      <c r="H403" s="2" t="n">
        <f aca="false">E403+G403</f>
        <v>5222.7</v>
      </c>
      <c r="I403" s="3" t="s">
        <v>22</v>
      </c>
      <c r="J403" s="0" t="str">
        <f aca="false">_xlfn.XLOOKUP(C403,Departments!$A$2:$A$6,Departments!$B$2:$B$6,"Unknown")</f>
        <v>Quality</v>
      </c>
    </row>
    <row r="404" customFormat="false" ht="15" hidden="false" customHeight="false" outlineLevel="0" collapsed="false">
      <c r="A404" s="0" t="s">
        <v>431</v>
      </c>
      <c r="B404" s="4" t="n">
        <v>45696</v>
      </c>
      <c r="C404" s="0" t="s">
        <v>27</v>
      </c>
      <c r="D404" s="3" t="s">
        <v>21</v>
      </c>
      <c r="E404" s="2" t="n">
        <v>5011</v>
      </c>
      <c r="F404" s="5" t="n">
        <f aca="false">VLOOKUP(D404,Lookup!$A$2:$B$4,2,FALSE())</f>
        <v>0.1</v>
      </c>
      <c r="G404" s="2" t="n">
        <f aca="false">ROUND(E404*F404,2)</f>
        <v>501.1</v>
      </c>
      <c r="H404" s="2" t="n">
        <f aca="false">E404+G404</f>
        <v>5512.1</v>
      </c>
      <c r="I404" s="3" t="s">
        <v>22</v>
      </c>
      <c r="J404" s="0" t="str">
        <f aca="false">_xlfn.XLOOKUP(C404,Departments!$A$2:$A$6,Departments!$B$2:$B$6,"Unknown")</f>
        <v>Human Resources</v>
      </c>
    </row>
    <row r="405" customFormat="false" ht="15" hidden="false" customHeight="false" outlineLevel="0" collapsed="false">
      <c r="A405" s="0" t="s">
        <v>432</v>
      </c>
      <c r="B405" s="4" t="n">
        <v>45697</v>
      </c>
      <c r="C405" s="0" t="s">
        <v>30</v>
      </c>
      <c r="D405" s="3" t="s">
        <v>25</v>
      </c>
      <c r="E405" s="2" t="n">
        <v>5048</v>
      </c>
      <c r="F405" s="5" t="n">
        <f aca="false">VLOOKUP(D405,Lookup!$A$2:$B$4,2,FALSE())</f>
        <v>0.15</v>
      </c>
      <c r="G405" s="2" t="n">
        <f aca="false">ROUND(E405*F405,2)</f>
        <v>757.2</v>
      </c>
      <c r="H405" s="2" t="n">
        <f aca="false">E405+G405</f>
        <v>5805.2</v>
      </c>
      <c r="I405" s="3" t="s">
        <v>22</v>
      </c>
      <c r="J405" s="0" t="str">
        <f aca="false">_xlfn.XLOOKUP(C405,Departments!$A$2:$A$6,Departments!$B$2:$B$6,"Unknown")</f>
        <v>Technology</v>
      </c>
    </row>
    <row r="406" customFormat="false" ht="15" hidden="false" customHeight="false" outlineLevel="0" collapsed="false">
      <c r="A406" s="0" t="s">
        <v>433</v>
      </c>
      <c r="B406" s="4" t="n">
        <v>45698</v>
      </c>
      <c r="C406" s="0" t="s">
        <v>32</v>
      </c>
      <c r="D406" s="3" t="s">
        <v>28</v>
      </c>
      <c r="E406" s="2" t="n">
        <v>5085</v>
      </c>
      <c r="F406" s="5" t="n">
        <f aca="false">VLOOKUP(D406,Lookup!$A$2:$B$4,2,FALSE())</f>
        <v>0.05</v>
      </c>
      <c r="G406" s="2" t="n">
        <f aca="false">ROUND(E406*F406,2)</f>
        <v>254.25</v>
      </c>
      <c r="H406" s="2" t="n">
        <f aca="false">E406+G406</f>
        <v>5339.25</v>
      </c>
      <c r="I406" s="3" t="s">
        <v>22</v>
      </c>
      <c r="J406" s="0" t="str">
        <f aca="false">_xlfn.XLOOKUP(C406,Departments!$A$2:$A$6,Departments!$B$2:$B$6,"Unknown")</f>
        <v>Operations</v>
      </c>
    </row>
    <row r="407" customFormat="false" ht="15" hidden="false" customHeight="false" outlineLevel="0" collapsed="false">
      <c r="A407" s="0" t="s">
        <v>434</v>
      </c>
      <c r="B407" s="4" t="n">
        <v>45699</v>
      </c>
      <c r="C407" s="0" t="s">
        <v>20</v>
      </c>
      <c r="D407" s="3" t="s">
        <v>21</v>
      </c>
      <c r="E407" s="2" t="n">
        <v>122</v>
      </c>
      <c r="F407" s="5" t="n">
        <f aca="false">VLOOKUP(D407,Lookup!$A$2:$B$4,2,FALSE())</f>
        <v>0.1</v>
      </c>
      <c r="G407" s="2" t="n">
        <f aca="false">ROUND(E407*F407,2)</f>
        <v>12.2</v>
      </c>
      <c r="H407" s="2" t="n">
        <f aca="false">E407+G407</f>
        <v>134.2</v>
      </c>
      <c r="I407" s="3" t="s">
        <v>35</v>
      </c>
      <c r="J407" s="0" t="str">
        <f aca="false">_xlfn.XLOOKUP(C407,Departments!$A$2:$A$6,Departments!$B$2:$B$6,"Unknown")</f>
        <v>Finance</v>
      </c>
    </row>
    <row r="408" customFormat="false" ht="15" hidden="false" customHeight="false" outlineLevel="0" collapsed="false">
      <c r="A408" s="0" t="s">
        <v>435</v>
      </c>
      <c r="B408" s="4" t="n">
        <v>45700</v>
      </c>
      <c r="C408" s="0" t="s">
        <v>24</v>
      </c>
      <c r="D408" s="3" t="s">
        <v>25</v>
      </c>
      <c r="E408" s="2" t="n">
        <v>159</v>
      </c>
      <c r="F408" s="5" t="n">
        <f aca="false">VLOOKUP(D408,Lookup!$A$2:$B$4,2,FALSE())</f>
        <v>0.15</v>
      </c>
      <c r="G408" s="2" t="n">
        <f aca="false">ROUND(E408*F408,2)</f>
        <v>23.85</v>
      </c>
      <c r="H408" s="2" t="n">
        <f aca="false">E408+G408</f>
        <v>182.85</v>
      </c>
      <c r="I408" s="3" t="s">
        <v>22</v>
      </c>
      <c r="J408" s="0" t="str">
        <f aca="false">_xlfn.XLOOKUP(C408,Departments!$A$2:$A$6,Departments!$B$2:$B$6,"Unknown")</f>
        <v>Quality</v>
      </c>
    </row>
    <row r="409" customFormat="false" ht="15" hidden="false" customHeight="false" outlineLevel="0" collapsed="false">
      <c r="A409" s="0" t="s">
        <v>436</v>
      </c>
      <c r="B409" s="4" t="n">
        <v>45701</v>
      </c>
      <c r="C409" s="0" t="s">
        <v>27</v>
      </c>
      <c r="D409" s="3" t="s">
        <v>28</v>
      </c>
      <c r="E409" s="2" t="n">
        <v>196</v>
      </c>
      <c r="F409" s="5" t="n">
        <f aca="false">VLOOKUP(D409,Lookup!$A$2:$B$4,2,FALSE())</f>
        <v>0.05</v>
      </c>
      <c r="G409" s="2" t="n">
        <f aca="false">ROUND(E409*F409,2)</f>
        <v>9.8</v>
      </c>
      <c r="H409" s="2" t="n">
        <f aca="false">E409+G409</f>
        <v>205.8</v>
      </c>
      <c r="I409" s="3" t="s">
        <v>22</v>
      </c>
      <c r="J409" s="0" t="str">
        <f aca="false">_xlfn.XLOOKUP(C409,Departments!$A$2:$A$6,Departments!$B$2:$B$6,"Unknown")</f>
        <v>Human Resources</v>
      </c>
    </row>
    <row r="410" customFormat="false" ht="15" hidden="false" customHeight="false" outlineLevel="0" collapsed="false">
      <c r="A410" s="0" t="s">
        <v>437</v>
      </c>
      <c r="B410" s="4" t="n">
        <v>45702</v>
      </c>
      <c r="C410" s="0" t="s">
        <v>30</v>
      </c>
      <c r="D410" s="3" t="s">
        <v>21</v>
      </c>
      <c r="E410" s="2" t="n">
        <v>233</v>
      </c>
      <c r="F410" s="5" t="n">
        <f aca="false">VLOOKUP(D410,Lookup!$A$2:$B$4,2,FALSE())</f>
        <v>0.1</v>
      </c>
      <c r="G410" s="2" t="n">
        <f aca="false">ROUND(E410*F410,2)</f>
        <v>23.3</v>
      </c>
      <c r="H410" s="2" t="n">
        <f aca="false">E410+G410</f>
        <v>256.3</v>
      </c>
      <c r="I410" s="3" t="s">
        <v>22</v>
      </c>
      <c r="J410" s="0" t="str">
        <f aca="false">_xlfn.XLOOKUP(C410,Departments!$A$2:$A$6,Departments!$B$2:$B$6,"Unknown")</f>
        <v>Technology</v>
      </c>
    </row>
    <row r="411" customFormat="false" ht="15" hidden="false" customHeight="false" outlineLevel="0" collapsed="false">
      <c r="A411" s="0" t="s">
        <v>438</v>
      </c>
      <c r="B411" s="4" t="n">
        <v>45703</v>
      </c>
      <c r="C411" s="0" t="s">
        <v>32</v>
      </c>
      <c r="D411" s="3" t="s">
        <v>25</v>
      </c>
      <c r="E411" s="2" t="n">
        <v>270</v>
      </c>
      <c r="F411" s="5" t="n">
        <f aca="false">VLOOKUP(D411,Lookup!$A$2:$B$4,2,FALSE())</f>
        <v>0.15</v>
      </c>
      <c r="G411" s="2" t="n">
        <f aca="false">ROUND(E411*F411,2)</f>
        <v>40.5</v>
      </c>
      <c r="H411" s="2" t="n">
        <f aca="false">E411+G411</f>
        <v>310.5</v>
      </c>
      <c r="I411" s="3" t="s">
        <v>22</v>
      </c>
      <c r="J411" s="0" t="str">
        <f aca="false">_xlfn.XLOOKUP(C411,Departments!$A$2:$A$6,Departments!$B$2:$B$6,"Unknown")</f>
        <v>Operations</v>
      </c>
    </row>
    <row r="412" customFormat="false" ht="15" hidden="false" customHeight="false" outlineLevel="0" collapsed="false">
      <c r="A412" s="0" t="s">
        <v>439</v>
      </c>
      <c r="B412" s="4" t="n">
        <v>45704</v>
      </c>
      <c r="C412" s="0" t="s">
        <v>20</v>
      </c>
      <c r="D412" s="3" t="s">
        <v>28</v>
      </c>
      <c r="E412" s="2" t="n">
        <v>307</v>
      </c>
      <c r="F412" s="5" t="n">
        <f aca="false">VLOOKUP(D412,Lookup!$A$2:$B$4,2,FALSE())</f>
        <v>0.05</v>
      </c>
      <c r="G412" s="2" t="n">
        <f aca="false">ROUND(E412*F412,2)</f>
        <v>15.35</v>
      </c>
      <c r="H412" s="2" t="n">
        <f aca="false">E412+G412</f>
        <v>322.35</v>
      </c>
      <c r="I412" s="3" t="s">
        <v>22</v>
      </c>
      <c r="J412" s="0" t="str">
        <f aca="false">_xlfn.XLOOKUP(C412,Departments!$A$2:$A$6,Departments!$B$2:$B$6,"Unknown")</f>
        <v>Finance</v>
      </c>
    </row>
    <row r="413" customFormat="false" ht="15" hidden="false" customHeight="false" outlineLevel="0" collapsed="false">
      <c r="A413" s="0" t="s">
        <v>440</v>
      </c>
      <c r="B413" s="4" t="n">
        <v>45705</v>
      </c>
      <c r="C413" s="0" t="s">
        <v>24</v>
      </c>
      <c r="D413" s="3" t="s">
        <v>21</v>
      </c>
      <c r="E413" s="2" t="n">
        <v>344</v>
      </c>
      <c r="F413" s="5" t="n">
        <f aca="false">VLOOKUP(D413,Lookup!$A$2:$B$4,2,FALSE())</f>
        <v>0.1</v>
      </c>
      <c r="G413" s="2" t="n">
        <f aca="false">ROUND(E413*F413,2)</f>
        <v>34.4</v>
      </c>
      <c r="H413" s="2" t="n">
        <f aca="false">E413+G413</f>
        <v>378.4</v>
      </c>
      <c r="I413" s="3" t="s">
        <v>22</v>
      </c>
      <c r="J413" s="0" t="str">
        <f aca="false">_xlfn.XLOOKUP(C413,Departments!$A$2:$A$6,Departments!$B$2:$B$6,"Unknown")</f>
        <v>Quality</v>
      </c>
    </row>
    <row r="414" customFormat="false" ht="15" hidden="false" customHeight="false" outlineLevel="0" collapsed="false">
      <c r="A414" s="0" t="s">
        <v>441</v>
      </c>
      <c r="B414" s="4" t="n">
        <v>45706</v>
      </c>
      <c r="C414" s="0" t="s">
        <v>27</v>
      </c>
      <c r="D414" s="3" t="s">
        <v>25</v>
      </c>
      <c r="E414" s="2" t="n">
        <v>381</v>
      </c>
      <c r="F414" s="5" t="n">
        <f aca="false">VLOOKUP(D414,Lookup!$A$2:$B$4,2,FALSE())</f>
        <v>0.15</v>
      </c>
      <c r="G414" s="2" t="n">
        <f aca="false">ROUND(E414*F414,2)</f>
        <v>57.15</v>
      </c>
      <c r="H414" s="2" t="n">
        <f aca="false">E414+G414</f>
        <v>438.15</v>
      </c>
      <c r="I414" s="3" t="s">
        <v>35</v>
      </c>
      <c r="J414" s="0" t="str">
        <f aca="false">_xlfn.XLOOKUP(C414,Departments!$A$2:$A$6,Departments!$B$2:$B$6,"Unknown")</f>
        <v>Human Resources</v>
      </c>
    </row>
    <row r="415" customFormat="false" ht="15" hidden="false" customHeight="false" outlineLevel="0" collapsed="false">
      <c r="A415" s="0" t="s">
        <v>442</v>
      </c>
      <c r="B415" s="4" t="n">
        <v>45707</v>
      </c>
      <c r="C415" s="0" t="s">
        <v>30</v>
      </c>
      <c r="D415" s="3" t="s">
        <v>28</v>
      </c>
      <c r="E415" s="2" t="n">
        <v>418</v>
      </c>
      <c r="F415" s="5" t="n">
        <f aca="false">VLOOKUP(D415,Lookup!$A$2:$B$4,2,FALSE())</f>
        <v>0.05</v>
      </c>
      <c r="G415" s="2" t="n">
        <f aca="false">ROUND(E415*F415,2)</f>
        <v>20.9</v>
      </c>
      <c r="H415" s="2" t="n">
        <f aca="false">E415+G415</f>
        <v>438.9</v>
      </c>
      <c r="I415" s="3" t="s">
        <v>22</v>
      </c>
      <c r="J415" s="0" t="str">
        <f aca="false">_xlfn.XLOOKUP(C415,Departments!$A$2:$A$6,Departments!$B$2:$B$6,"Unknown")</f>
        <v>Technology</v>
      </c>
    </row>
    <row r="416" customFormat="false" ht="15" hidden="false" customHeight="false" outlineLevel="0" collapsed="false">
      <c r="A416" s="0" t="s">
        <v>443</v>
      </c>
      <c r="B416" s="4" t="n">
        <v>45708</v>
      </c>
      <c r="C416" s="0" t="s">
        <v>32</v>
      </c>
      <c r="D416" s="3" t="s">
        <v>21</v>
      </c>
      <c r="E416" s="2" t="n">
        <v>455</v>
      </c>
      <c r="F416" s="5" t="n">
        <f aca="false">VLOOKUP(D416,Lookup!$A$2:$B$4,2,FALSE())</f>
        <v>0.1</v>
      </c>
      <c r="G416" s="2" t="n">
        <f aca="false">ROUND(E416*F416,2)</f>
        <v>45.5</v>
      </c>
      <c r="H416" s="2" t="n">
        <f aca="false">E416+G416</f>
        <v>500.5</v>
      </c>
      <c r="I416" s="3" t="s">
        <v>22</v>
      </c>
      <c r="J416" s="0" t="str">
        <f aca="false">_xlfn.XLOOKUP(C416,Departments!$A$2:$A$6,Departments!$B$2:$B$6,"Unknown")</f>
        <v>Operations</v>
      </c>
    </row>
    <row r="417" customFormat="false" ht="15" hidden="false" customHeight="false" outlineLevel="0" collapsed="false">
      <c r="A417" s="0" t="s">
        <v>444</v>
      </c>
      <c r="B417" s="4" t="n">
        <v>45709</v>
      </c>
      <c r="C417" s="0" t="s">
        <v>20</v>
      </c>
      <c r="D417" s="3" t="s">
        <v>25</v>
      </c>
      <c r="E417" s="2" t="n">
        <v>492</v>
      </c>
      <c r="F417" s="5" t="n">
        <f aca="false">VLOOKUP(D417,Lookup!$A$2:$B$4,2,FALSE())</f>
        <v>0.15</v>
      </c>
      <c r="G417" s="2" t="n">
        <f aca="false">ROUND(E417*F417,2)</f>
        <v>73.8</v>
      </c>
      <c r="H417" s="2" t="n">
        <f aca="false">E417+G417</f>
        <v>565.8</v>
      </c>
      <c r="I417" s="3" t="s">
        <v>22</v>
      </c>
      <c r="J417" s="0" t="str">
        <f aca="false">_xlfn.XLOOKUP(C417,Departments!$A$2:$A$6,Departments!$B$2:$B$6,"Unknown")</f>
        <v>Finance</v>
      </c>
    </row>
    <row r="418" customFormat="false" ht="15" hidden="false" customHeight="false" outlineLevel="0" collapsed="false">
      <c r="A418" s="0" t="s">
        <v>445</v>
      </c>
      <c r="B418" s="4" t="n">
        <v>45710</v>
      </c>
      <c r="C418" s="0" t="s">
        <v>24</v>
      </c>
      <c r="D418" s="3" t="s">
        <v>28</v>
      </c>
      <c r="E418" s="2" t="n">
        <v>529</v>
      </c>
      <c r="F418" s="5" t="n">
        <f aca="false">VLOOKUP(D418,Lookup!$A$2:$B$4,2,FALSE())</f>
        <v>0.05</v>
      </c>
      <c r="G418" s="2" t="n">
        <f aca="false">ROUND(E418*F418,2)</f>
        <v>26.45</v>
      </c>
      <c r="H418" s="2" t="n">
        <f aca="false">E418+G418</f>
        <v>555.45</v>
      </c>
      <c r="I418" s="3" t="s">
        <v>22</v>
      </c>
      <c r="J418" s="0" t="str">
        <f aca="false">_xlfn.XLOOKUP(C418,Departments!$A$2:$A$6,Departments!$B$2:$B$6,"Unknown")</f>
        <v>Quality</v>
      </c>
    </row>
    <row r="419" customFormat="false" ht="15" hidden="false" customHeight="false" outlineLevel="0" collapsed="false">
      <c r="A419" s="0" t="s">
        <v>446</v>
      </c>
      <c r="B419" s="4" t="n">
        <v>45711</v>
      </c>
      <c r="C419" s="0" t="s">
        <v>27</v>
      </c>
      <c r="D419" s="3" t="s">
        <v>21</v>
      </c>
      <c r="E419" s="2" t="n">
        <v>566</v>
      </c>
      <c r="F419" s="5" t="n">
        <f aca="false">VLOOKUP(D419,Lookup!$A$2:$B$4,2,FALSE())</f>
        <v>0.1</v>
      </c>
      <c r="G419" s="2" t="n">
        <f aca="false">ROUND(E419*F419,2)</f>
        <v>56.6</v>
      </c>
      <c r="H419" s="2" t="n">
        <f aca="false">E419+G419</f>
        <v>622.6</v>
      </c>
      <c r="I419" s="3" t="s">
        <v>22</v>
      </c>
      <c r="J419" s="0" t="str">
        <f aca="false">_xlfn.XLOOKUP(C419,Departments!$A$2:$A$6,Departments!$B$2:$B$6,"Unknown")</f>
        <v>Human Resources</v>
      </c>
    </row>
    <row r="420" customFormat="false" ht="15" hidden="false" customHeight="false" outlineLevel="0" collapsed="false">
      <c r="A420" s="0" t="s">
        <v>447</v>
      </c>
      <c r="B420" s="4" t="n">
        <v>45712</v>
      </c>
      <c r="C420" s="0" t="s">
        <v>30</v>
      </c>
      <c r="D420" s="3" t="s">
        <v>25</v>
      </c>
      <c r="E420" s="2" t="n">
        <v>603</v>
      </c>
      <c r="F420" s="5" t="n">
        <f aca="false">VLOOKUP(D420,Lookup!$A$2:$B$4,2,FALSE())</f>
        <v>0.15</v>
      </c>
      <c r="G420" s="2" t="n">
        <f aca="false">ROUND(E420*F420,2)</f>
        <v>90.45</v>
      </c>
      <c r="H420" s="2" t="n">
        <f aca="false">E420+G420</f>
        <v>693.45</v>
      </c>
      <c r="I420" s="3" t="s">
        <v>22</v>
      </c>
      <c r="J420" s="0" t="str">
        <f aca="false">_xlfn.XLOOKUP(C420,Departments!$A$2:$A$6,Departments!$B$2:$B$6,"Unknown")</f>
        <v>Technology</v>
      </c>
    </row>
    <row r="421" customFormat="false" ht="15" hidden="false" customHeight="false" outlineLevel="0" collapsed="false">
      <c r="A421" s="0" t="s">
        <v>448</v>
      </c>
      <c r="B421" s="4" t="n">
        <v>45713</v>
      </c>
      <c r="C421" s="0" t="s">
        <v>32</v>
      </c>
      <c r="D421" s="3" t="s">
        <v>28</v>
      </c>
      <c r="E421" s="2" t="n">
        <v>640</v>
      </c>
      <c r="F421" s="5" t="n">
        <f aca="false">VLOOKUP(D421,Lookup!$A$2:$B$4,2,FALSE())</f>
        <v>0.05</v>
      </c>
      <c r="G421" s="2" t="n">
        <f aca="false">ROUND(E421*F421,2)</f>
        <v>32</v>
      </c>
      <c r="H421" s="2" t="n">
        <f aca="false">E421+G421</f>
        <v>672</v>
      </c>
      <c r="I421" s="3" t="s">
        <v>35</v>
      </c>
      <c r="J421" s="0" t="str">
        <f aca="false">_xlfn.XLOOKUP(C421,Departments!$A$2:$A$6,Departments!$B$2:$B$6,"Unknown")</f>
        <v>Operations</v>
      </c>
    </row>
    <row r="422" customFormat="false" ht="15" hidden="false" customHeight="false" outlineLevel="0" collapsed="false">
      <c r="A422" s="0" t="s">
        <v>449</v>
      </c>
      <c r="B422" s="4" t="n">
        <v>45714</v>
      </c>
      <c r="C422" s="0" t="s">
        <v>20</v>
      </c>
      <c r="D422" s="3" t="s">
        <v>21</v>
      </c>
      <c r="E422" s="2" t="n">
        <v>677</v>
      </c>
      <c r="F422" s="5" t="n">
        <f aca="false">VLOOKUP(D422,Lookup!$A$2:$B$4,2,FALSE())</f>
        <v>0.1</v>
      </c>
      <c r="G422" s="2" t="n">
        <f aca="false">ROUND(E422*F422,2)</f>
        <v>67.7</v>
      </c>
      <c r="H422" s="2" t="n">
        <f aca="false">E422+G422</f>
        <v>744.7</v>
      </c>
      <c r="I422" s="3" t="s">
        <v>22</v>
      </c>
      <c r="J422" s="0" t="str">
        <f aca="false">_xlfn.XLOOKUP(C422,Departments!$A$2:$A$6,Departments!$B$2:$B$6,"Unknown")</f>
        <v>Finance</v>
      </c>
    </row>
    <row r="423" customFormat="false" ht="15" hidden="false" customHeight="false" outlineLevel="0" collapsed="false">
      <c r="A423" s="0" t="s">
        <v>450</v>
      </c>
      <c r="B423" s="4" t="n">
        <v>45715</v>
      </c>
      <c r="C423" s="0" t="s">
        <v>24</v>
      </c>
      <c r="D423" s="3" t="s">
        <v>25</v>
      </c>
      <c r="E423" s="2" t="n">
        <v>714</v>
      </c>
      <c r="F423" s="5" t="n">
        <f aca="false">VLOOKUP(D423,Lookup!$A$2:$B$4,2,FALSE())</f>
        <v>0.15</v>
      </c>
      <c r="G423" s="2" t="n">
        <f aca="false">ROUND(E423*F423,2)</f>
        <v>107.1</v>
      </c>
      <c r="H423" s="2" t="n">
        <f aca="false">E423+G423</f>
        <v>821.1</v>
      </c>
      <c r="I423" s="3" t="s">
        <v>22</v>
      </c>
      <c r="J423" s="0" t="str">
        <f aca="false">_xlfn.XLOOKUP(C423,Departments!$A$2:$A$6,Departments!$B$2:$B$6,"Unknown")</f>
        <v>Quality</v>
      </c>
    </row>
    <row r="424" customFormat="false" ht="15" hidden="false" customHeight="false" outlineLevel="0" collapsed="false">
      <c r="A424" s="0" t="s">
        <v>451</v>
      </c>
      <c r="B424" s="4" t="n">
        <v>45716</v>
      </c>
      <c r="C424" s="0" t="s">
        <v>27</v>
      </c>
      <c r="D424" s="3" t="s">
        <v>28</v>
      </c>
      <c r="E424" s="2" t="n">
        <v>751</v>
      </c>
      <c r="F424" s="5" t="n">
        <f aca="false">VLOOKUP(D424,Lookup!$A$2:$B$4,2,FALSE())</f>
        <v>0.05</v>
      </c>
      <c r="G424" s="2" t="n">
        <f aca="false">ROUND(E424*F424,2)</f>
        <v>37.55</v>
      </c>
      <c r="H424" s="2" t="n">
        <f aca="false">E424+G424</f>
        <v>788.55</v>
      </c>
      <c r="I424" s="3" t="s">
        <v>22</v>
      </c>
      <c r="J424" s="0" t="str">
        <f aca="false">_xlfn.XLOOKUP(C424,Departments!$A$2:$A$6,Departments!$B$2:$B$6,"Unknown")</f>
        <v>Human Resources</v>
      </c>
    </row>
    <row r="425" customFormat="false" ht="15" hidden="false" customHeight="false" outlineLevel="0" collapsed="false">
      <c r="A425" s="0" t="s">
        <v>452</v>
      </c>
      <c r="B425" s="4" t="n">
        <v>45717</v>
      </c>
      <c r="C425" s="0" t="s">
        <v>30</v>
      </c>
      <c r="D425" s="3" t="s">
        <v>21</v>
      </c>
      <c r="E425" s="2" t="n">
        <v>788</v>
      </c>
      <c r="F425" s="5" t="n">
        <f aca="false">VLOOKUP(D425,Lookup!$A$2:$B$4,2,FALSE())</f>
        <v>0.1</v>
      </c>
      <c r="G425" s="2" t="n">
        <f aca="false">ROUND(E425*F425,2)</f>
        <v>78.8</v>
      </c>
      <c r="H425" s="2" t="n">
        <f aca="false">E425+G425</f>
        <v>866.8</v>
      </c>
      <c r="I425" s="3" t="s">
        <v>22</v>
      </c>
      <c r="J425" s="0" t="str">
        <f aca="false">_xlfn.XLOOKUP(C425,Departments!$A$2:$A$6,Departments!$B$2:$B$6,"Unknown")</f>
        <v>Technology</v>
      </c>
    </row>
    <row r="426" customFormat="false" ht="15" hidden="false" customHeight="false" outlineLevel="0" collapsed="false">
      <c r="A426" s="0" t="s">
        <v>453</v>
      </c>
      <c r="B426" s="4" t="n">
        <v>45718</v>
      </c>
      <c r="C426" s="0" t="s">
        <v>32</v>
      </c>
      <c r="D426" s="3" t="s">
        <v>25</v>
      </c>
      <c r="E426" s="2" t="n">
        <v>825</v>
      </c>
      <c r="F426" s="5" t="n">
        <f aca="false">VLOOKUP(D426,Lookup!$A$2:$B$4,2,FALSE())</f>
        <v>0.15</v>
      </c>
      <c r="G426" s="2" t="n">
        <f aca="false">ROUND(E426*F426,2)</f>
        <v>123.75</v>
      </c>
      <c r="H426" s="2" t="n">
        <f aca="false">E426+G426</f>
        <v>948.75</v>
      </c>
      <c r="I426" s="3" t="s">
        <v>22</v>
      </c>
      <c r="J426" s="0" t="str">
        <f aca="false">_xlfn.XLOOKUP(C426,Departments!$A$2:$A$6,Departments!$B$2:$B$6,"Unknown")</f>
        <v>Operations</v>
      </c>
    </row>
    <row r="427" customFormat="false" ht="15" hidden="false" customHeight="false" outlineLevel="0" collapsed="false">
      <c r="A427" s="0" t="s">
        <v>454</v>
      </c>
      <c r="B427" s="4" t="n">
        <v>45719</v>
      </c>
      <c r="C427" s="0" t="s">
        <v>20</v>
      </c>
      <c r="D427" s="3" t="s">
        <v>28</v>
      </c>
      <c r="E427" s="2" t="n">
        <v>862</v>
      </c>
      <c r="F427" s="5" t="n">
        <f aca="false">VLOOKUP(D427,Lookup!$A$2:$B$4,2,FALSE())</f>
        <v>0.05</v>
      </c>
      <c r="G427" s="2" t="n">
        <f aca="false">ROUND(E427*F427,2)</f>
        <v>43.1</v>
      </c>
      <c r="H427" s="2" t="n">
        <f aca="false">E427+G427</f>
        <v>905.1</v>
      </c>
      <c r="I427" s="3" t="s">
        <v>22</v>
      </c>
      <c r="J427" s="0" t="str">
        <f aca="false">_xlfn.XLOOKUP(C427,Departments!$A$2:$A$6,Departments!$B$2:$B$6,"Unknown")</f>
        <v>Finance</v>
      </c>
    </row>
    <row r="428" customFormat="false" ht="15" hidden="false" customHeight="false" outlineLevel="0" collapsed="false">
      <c r="A428" s="0" t="s">
        <v>455</v>
      </c>
      <c r="B428" s="4" t="n">
        <v>45720</v>
      </c>
      <c r="C428" s="0" t="s">
        <v>24</v>
      </c>
      <c r="D428" s="3" t="s">
        <v>21</v>
      </c>
      <c r="E428" s="2" t="n">
        <v>899</v>
      </c>
      <c r="F428" s="5" t="n">
        <f aca="false">VLOOKUP(D428,Lookup!$A$2:$B$4,2,FALSE())</f>
        <v>0.1</v>
      </c>
      <c r="G428" s="2" t="n">
        <f aca="false">ROUND(E428*F428,2)</f>
        <v>89.9</v>
      </c>
      <c r="H428" s="2" t="n">
        <f aca="false">E428+G428</f>
        <v>988.9</v>
      </c>
      <c r="I428" s="3" t="s">
        <v>35</v>
      </c>
      <c r="J428" s="0" t="str">
        <f aca="false">_xlfn.XLOOKUP(C428,Departments!$A$2:$A$6,Departments!$B$2:$B$6,"Unknown")</f>
        <v>Quality</v>
      </c>
    </row>
    <row r="429" customFormat="false" ht="15" hidden="false" customHeight="false" outlineLevel="0" collapsed="false">
      <c r="A429" s="0" t="s">
        <v>456</v>
      </c>
      <c r="B429" s="4" t="n">
        <v>45721</v>
      </c>
      <c r="C429" s="0" t="s">
        <v>27</v>
      </c>
      <c r="D429" s="3" t="s">
        <v>25</v>
      </c>
      <c r="E429" s="2" t="n">
        <v>936</v>
      </c>
      <c r="F429" s="5" t="n">
        <f aca="false">VLOOKUP(D429,Lookup!$A$2:$B$4,2,FALSE())</f>
        <v>0.15</v>
      </c>
      <c r="G429" s="2" t="n">
        <f aca="false">ROUND(E429*F429,2)</f>
        <v>140.4</v>
      </c>
      <c r="H429" s="2" t="n">
        <f aca="false">E429+G429</f>
        <v>1076.4</v>
      </c>
      <c r="I429" s="3" t="s">
        <v>22</v>
      </c>
      <c r="J429" s="0" t="str">
        <f aca="false">_xlfn.XLOOKUP(C429,Departments!$A$2:$A$6,Departments!$B$2:$B$6,"Unknown")</f>
        <v>Human Resources</v>
      </c>
    </row>
    <row r="430" customFormat="false" ht="15" hidden="false" customHeight="false" outlineLevel="0" collapsed="false">
      <c r="A430" s="0" t="s">
        <v>457</v>
      </c>
      <c r="B430" s="4" t="n">
        <v>45722</v>
      </c>
      <c r="C430" s="0" t="s">
        <v>30</v>
      </c>
      <c r="D430" s="3" t="s">
        <v>28</v>
      </c>
      <c r="E430" s="2" t="n">
        <v>973</v>
      </c>
      <c r="F430" s="5" t="n">
        <f aca="false">VLOOKUP(D430,Lookup!$A$2:$B$4,2,FALSE())</f>
        <v>0.05</v>
      </c>
      <c r="G430" s="2" t="n">
        <f aca="false">ROUND(E430*F430,2)</f>
        <v>48.65</v>
      </c>
      <c r="H430" s="2" t="n">
        <f aca="false">E430+G430</f>
        <v>1021.65</v>
      </c>
      <c r="I430" s="3" t="s">
        <v>22</v>
      </c>
      <c r="J430" s="0" t="str">
        <f aca="false">_xlfn.XLOOKUP(C430,Departments!$A$2:$A$6,Departments!$B$2:$B$6,"Unknown")</f>
        <v>Technology</v>
      </c>
    </row>
    <row r="431" customFormat="false" ht="15" hidden="false" customHeight="false" outlineLevel="0" collapsed="false">
      <c r="A431" s="0" t="s">
        <v>458</v>
      </c>
      <c r="B431" s="4" t="n">
        <v>45723</v>
      </c>
      <c r="C431" s="0" t="s">
        <v>32</v>
      </c>
      <c r="D431" s="3" t="s">
        <v>21</v>
      </c>
      <c r="E431" s="2" t="n">
        <v>1010</v>
      </c>
      <c r="F431" s="5" t="n">
        <f aca="false">VLOOKUP(D431,Lookup!$A$2:$B$4,2,FALSE())</f>
        <v>0.1</v>
      </c>
      <c r="G431" s="2" t="n">
        <f aca="false">ROUND(E431*F431,2)</f>
        <v>101</v>
      </c>
      <c r="H431" s="2" t="n">
        <f aca="false">E431+G431</f>
        <v>1111</v>
      </c>
      <c r="I431" s="3" t="s">
        <v>22</v>
      </c>
      <c r="J431" s="0" t="str">
        <f aca="false">_xlfn.XLOOKUP(C431,Departments!$A$2:$A$6,Departments!$B$2:$B$6,"Unknown")</f>
        <v>Operations</v>
      </c>
    </row>
    <row r="432" customFormat="false" ht="15" hidden="false" customHeight="false" outlineLevel="0" collapsed="false">
      <c r="A432" s="0" t="s">
        <v>459</v>
      </c>
      <c r="B432" s="4" t="n">
        <v>45724</v>
      </c>
      <c r="C432" s="0" t="s">
        <v>20</v>
      </c>
      <c r="D432" s="3" t="s">
        <v>25</v>
      </c>
      <c r="E432" s="2" t="n">
        <v>1047</v>
      </c>
      <c r="F432" s="5" t="n">
        <f aca="false">VLOOKUP(D432,Lookup!$A$2:$B$4,2,FALSE())</f>
        <v>0.15</v>
      </c>
      <c r="G432" s="2" t="n">
        <f aca="false">ROUND(E432*F432,2)</f>
        <v>157.05</v>
      </c>
      <c r="H432" s="2" t="n">
        <f aca="false">E432+G432</f>
        <v>1204.05</v>
      </c>
      <c r="I432" s="3" t="s">
        <v>22</v>
      </c>
      <c r="J432" s="0" t="str">
        <f aca="false">_xlfn.XLOOKUP(C432,Departments!$A$2:$A$6,Departments!$B$2:$B$6,"Unknown")</f>
        <v>Finance</v>
      </c>
    </row>
    <row r="433" customFormat="false" ht="15" hidden="false" customHeight="false" outlineLevel="0" collapsed="false">
      <c r="A433" s="0" t="s">
        <v>460</v>
      </c>
      <c r="B433" s="4" t="n">
        <v>45725</v>
      </c>
      <c r="C433" s="0" t="s">
        <v>24</v>
      </c>
      <c r="D433" s="3" t="s">
        <v>28</v>
      </c>
      <c r="E433" s="2" t="n">
        <v>1084</v>
      </c>
      <c r="F433" s="5" t="n">
        <f aca="false">VLOOKUP(D433,Lookup!$A$2:$B$4,2,FALSE())</f>
        <v>0.05</v>
      </c>
      <c r="G433" s="2" t="n">
        <f aca="false">ROUND(E433*F433,2)</f>
        <v>54.2</v>
      </c>
      <c r="H433" s="2" t="n">
        <f aca="false">E433+G433</f>
        <v>1138.2</v>
      </c>
      <c r="I433" s="3" t="s">
        <v>22</v>
      </c>
      <c r="J433" s="0" t="str">
        <f aca="false">_xlfn.XLOOKUP(C433,Departments!$A$2:$A$6,Departments!$B$2:$B$6,"Unknown")</f>
        <v>Quality</v>
      </c>
    </row>
    <row r="434" customFormat="false" ht="15" hidden="false" customHeight="false" outlineLevel="0" collapsed="false">
      <c r="A434" s="0" t="s">
        <v>461</v>
      </c>
      <c r="B434" s="4" t="n">
        <v>45726</v>
      </c>
      <c r="C434" s="0" t="s">
        <v>27</v>
      </c>
      <c r="D434" s="3" t="s">
        <v>21</v>
      </c>
      <c r="E434" s="2" t="n">
        <v>1121</v>
      </c>
      <c r="F434" s="5" t="n">
        <f aca="false">VLOOKUP(D434,Lookup!$A$2:$B$4,2,FALSE())</f>
        <v>0.1</v>
      </c>
      <c r="G434" s="2" t="n">
        <f aca="false">ROUND(E434*F434,2)</f>
        <v>112.1</v>
      </c>
      <c r="H434" s="2" t="n">
        <f aca="false">E434+G434</f>
        <v>1233.1</v>
      </c>
      <c r="I434" s="3" t="s">
        <v>22</v>
      </c>
      <c r="J434" s="0" t="str">
        <f aca="false">_xlfn.XLOOKUP(C434,Departments!$A$2:$A$6,Departments!$B$2:$B$6,"Unknown")</f>
        <v>Human Resources</v>
      </c>
    </row>
    <row r="435" customFormat="false" ht="15" hidden="false" customHeight="false" outlineLevel="0" collapsed="false">
      <c r="A435" s="0" t="s">
        <v>462</v>
      </c>
      <c r="B435" s="4" t="n">
        <v>45727</v>
      </c>
      <c r="C435" s="0" t="s">
        <v>30</v>
      </c>
      <c r="D435" s="3" t="s">
        <v>25</v>
      </c>
      <c r="E435" s="2" t="n">
        <v>1158</v>
      </c>
      <c r="F435" s="5" t="n">
        <f aca="false">VLOOKUP(D435,Lookup!$A$2:$B$4,2,FALSE())</f>
        <v>0.15</v>
      </c>
      <c r="G435" s="2" t="n">
        <f aca="false">ROUND(E435*F435,2)</f>
        <v>173.7</v>
      </c>
      <c r="H435" s="2" t="n">
        <f aca="false">E435+G435</f>
        <v>1331.7</v>
      </c>
      <c r="I435" s="3" t="s">
        <v>35</v>
      </c>
      <c r="J435" s="0" t="str">
        <f aca="false">_xlfn.XLOOKUP(C435,Departments!$A$2:$A$6,Departments!$B$2:$B$6,"Unknown")</f>
        <v>Technology</v>
      </c>
    </row>
    <row r="436" customFormat="false" ht="15" hidden="false" customHeight="false" outlineLevel="0" collapsed="false">
      <c r="A436" s="0" t="s">
        <v>463</v>
      </c>
      <c r="B436" s="4" t="n">
        <v>45728</v>
      </c>
      <c r="C436" s="0" t="s">
        <v>32</v>
      </c>
      <c r="D436" s="3" t="s">
        <v>28</v>
      </c>
      <c r="E436" s="2" t="n">
        <v>1195</v>
      </c>
      <c r="F436" s="5" t="n">
        <f aca="false">VLOOKUP(D436,Lookup!$A$2:$B$4,2,FALSE())</f>
        <v>0.05</v>
      </c>
      <c r="G436" s="2" t="n">
        <f aca="false">ROUND(E436*F436,2)</f>
        <v>59.75</v>
      </c>
      <c r="H436" s="2" t="n">
        <f aca="false">E436+G436</f>
        <v>1254.75</v>
      </c>
      <c r="I436" s="3" t="s">
        <v>22</v>
      </c>
      <c r="J436" s="0" t="str">
        <f aca="false">_xlfn.XLOOKUP(C436,Departments!$A$2:$A$6,Departments!$B$2:$B$6,"Unknown")</f>
        <v>Operations</v>
      </c>
    </row>
    <row r="437" customFormat="false" ht="15" hidden="false" customHeight="false" outlineLevel="0" collapsed="false">
      <c r="A437" s="0" t="s">
        <v>464</v>
      </c>
      <c r="B437" s="4" t="n">
        <v>45729</v>
      </c>
      <c r="C437" s="0" t="s">
        <v>20</v>
      </c>
      <c r="D437" s="3" t="s">
        <v>21</v>
      </c>
      <c r="E437" s="2" t="n">
        <v>1232</v>
      </c>
      <c r="F437" s="5" t="n">
        <f aca="false">VLOOKUP(D437,Lookup!$A$2:$B$4,2,FALSE())</f>
        <v>0.1</v>
      </c>
      <c r="G437" s="2" t="n">
        <f aca="false">ROUND(E437*F437,2)</f>
        <v>123.2</v>
      </c>
      <c r="H437" s="2" t="n">
        <f aca="false">E437+G437</f>
        <v>1355.2</v>
      </c>
      <c r="I437" s="3" t="s">
        <v>22</v>
      </c>
      <c r="J437" s="0" t="str">
        <f aca="false">_xlfn.XLOOKUP(C437,Departments!$A$2:$A$6,Departments!$B$2:$B$6,"Unknown")</f>
        <v>Finance</v>
      </c>
    </row>
    <row r="438" customFormat="false" ht="15" hidden="false" customHeight="false" outlineLevel="0" collapsed="false">
      <c r="A438" s="0" t="s">
        <v>465</v>
      </c>
      <c r="B438" s="4" t="n">
        <v>45730</v>
      </c>
      <c r="C438" s="0" t="s">
        <v>24</v>
      </c>
      <c r="D438" s="3" t="s">
        <v>25</v>
      </c>
      <c r="E438" s="2" t="n">
        <v>1269</v>
      </c>
      <c r="F438" s="5" t="n">
        <f aca="false">VLOOKUP(D438,Lookup!$A$2:$B$4,2,FALSE())</f>
        <v>0.15</v>
      </c>
      <c r="G438" s="2" t="n">
        <f aca="false">ROUND(E438*F438,2)</f>
        <v>190.35</v>
      </c>
      <c r="H438" s="2" t="n">
        <f aca="false">E438+G438</f>
        <v>1459.35</v>
      </c>
      <c r="I438" s="3" t="s">
        <v>22</v>
      </c>
      <c r="J438" s="0" t="str">
        <f aca="false">_xlfn.XLOOKUP(C438,Departments!$A$2:$A$6,Departments!$B$2:$B$6,"Unknown")</f>
        <v>Quality</v>
      </c>
    </row>
    <row r="439" customFormat="false" ht="15" hidden="false" customHeight="false" outlineLevel="0" collapsed="false">
      <c r="A439" s="0" t="s">
        <v>466</v>
      </c>
      <c r="B439" s="4" t="n">
        <v>45731</v>
      </c>
      <c r="C439" s="0" t="s">
        <v>27</v>
      </c>
      <c r="D439" s="3" t="s">
        <v>28</v>
      </c>
      <c r="E439" s="2" t="n">
        <v>1306</v>
      </c>
      <c r="F439" s="5" t="n">
        <f aca="false">VLOOKUP(D439,Lookup!$A$2:$B$4,2,FALSE())</f>
        <v>0.05</v>
      </c>
      <c r="G439" s="2" t="n">
        <f aca="false">ROUND(E439*F439,2)</f>
        <v>65.3</v>
      </c>
      <c r="H439" s="2" t="n">
        <f aca="false">E439+G439</f>
        <v>1371.3</v>
      </c>
      <c r="I439" s="3" t="s">
        <v>22</v>
      </c>
      <c r="J439" s="0" t="str">
        <f aca="false">_xlfn.XLOOKUP(C439,Departments!$A$2:$A$6,Departments!$B$2:$B$6,"Unknown")</f>
        <v>Human Resources</v>
      </c>
    </row>
    <row r="440" customFormat="false" ht="15" hidden="false" customHeight="false" outlineLevel="0" collapsed="false">
      <c r="A440" s="0" t="s">
        <v>467</v>
      </c>
      <c r="B440" s="4" t="n">
        <v>45732</v>
      </c>
      <c r="C440" s="0" t="s">
        <v>30</v>
      </c>
      <c r="D440" s="3" t="s">
        <v>21</v>
      </c>
      <c r="E440" s="2" t="n">
        <v>1343</v>
      </c>
      <c r="F440" s="5" t="n">
        <f aca="false">VLOOKUP(D440,Lookup!$A$2:$B$4,2,FALSE())</f>
        <v>0.1</v>
      </c>
      <c r="G440" s="2" t="n">
        <f aca="false">ROUND(E440*F440,2)</f>
        <v>134.3</v>
      </c>
      <c r="H440" s="2" t="n">
        <f aca="false">E440+G440</f>
        <v>1477.3</v>
      </c>
      <c r="I440" s="3" t="s">
        <v>22</v>
      </c>
      <c r="J440" s="0" t="str">
        <f aca="false">_xlfn.XLOOKUP(C440,Departments!$A$2:$A$6,Departments!$B$2:$B$6,"Unknown")</f>
        <v>Technology</v>
      </c>
    </row>
    <row r="441" customFormat="false" ht="15" hidden="false" customHeight="false" outlineLevel="0" collapsed="false">
      <c r="A441" s="0" t="s">
        <v>468</v>
      </c>
      <c r="B441" s="4" t="n">
        <v>45733</v>
      </c>
      <c r="C441" s="0" t="s">
        <v>32</v>
      </c>
      <c r="D441" s="3" t="s">
        <v>25</v>
      </c>
      <c r="E441" s="2" t="n">
        <v>1380</v>
      </c>
      <c r="F441" s="5" t="n">
        <f aca="false">VLOOKUP(D441,Lookup!$A$2:$B$4,2,FALSE())</f>
        <v>0.15</v>
      </c>
      <c r="G441" s="2" t="n">
        <f aca="false">ROUND(E441*F441,2)</f>
        <v>207</v>
      </c>
      <c r="H441" s="2" t="n">
        <f aca="false">E441+G441</f>
        <v>1587</v>
      </c>
      <c r="I441" s="3" t="s">
        <v>22</v>
      </c>
      <c r="J441" s="0" t="str">
        <f aca="false">_xlfn.XLOOKUP(C441,Departments!$A$2:$A$6,Departments!$B$2:$B$6,"Unknown")</f>
        <v>Operations</v>
      </c>
    </row>
    <row r="442" customFormat="false" ht="15" hidden="false" customHeight="false" outlineLevel="0" collapsed="false">
      <c r="A442" s="0" t="s">
        <v>469</v>
      </c>
      <c r="B442" s="4" t="n">
        <v>45734</v>
      </c>
      <c r="C442" s="0" t="s">
        <v>20</v>
      </c>
      <c r="D442" s="3" t="s">
        <v>28</v>
      </c>
      <c r="E442" s="2" t="n">
        <v>1417</v>
      </c>
      <c r="F442" s="5" t="n">
        <f aca="false">VLOOKUP(D442,Lookup!$A$2:$B$4,2,FALSE())</f>
        <v>0.05</v>
      </c>
      <c r="G442" s="2" t="n">
        <f aca="false">ROUND(E442*F442,2)</f>
        <v>70.85</v>
      </c>
      <c r="H442" s="2" t="n">
        <f aca="false">E442+G442</f>
        <v>1487.85</v>
      </c>
      <c r="I442" s="3" t="s">
        <v>35</v>
      </c>
      <c r="J442" s="0" t="str">
        <f aca="false">_xlfn.XLOOKUP(C442,Departments!$A$2:$A$6,Departments!$B$2:$B$6,"Unknown")</f>
        <v>Finance</v>
      </c>
    </row>
    <row r="443" customFormat="false" ht="15" hidden="false" customHeight="false" outlineLevel="0" collapsed="false">
      <c r="A443" s="0" t="s">
        <v>470</v>
      </c>
      <c r="B443" s="4" t="n">
        <v>45735</v>
      </c>
      <c r="C443" s="0" t="s">
        <v>24</v>
      </c>
      <c r="D443" s="3" t="s">
        <v>21</v>
      </c>
      <c r="E443" s="2" t="n">
        <v>1454</v>
      </c>
      <c r="F443" s="5" t="n">
        <f aca="false">VLOOKUP(D443,Lookup!$A$2:$B$4,2,FALSE())</f>
        <v>0.1</v>
      </c>
      <c r="G443" s="2" t="n">
        <f aca="false">ROUND(E443*F443,2)</f>
        <v>145.4</v>
      </c>
      <c r="H443" s="2" t="n">
        <f aca="false">E443+G443</f>
        <v>1599.4</v>
      </c>
      <c r="I443" s="3" t="s">
        <v>22</v>
      </c>
      <c r="J443" s="0" t="str">
        <f aca="false">_xlfn.XLOOKUP(C443,Departments!$A$2:$A$6,Departments!$B$2:$B$6,"Unknown")</f>
        <v>Quality</v>
      </c>
    </row>
    <row r="444" customFormat="false" ht="15" hidden="false" customHeight="false" outlineLevel="0" collapsed="false">
      <c r="A444" s="0" t="s">
        <v>471</v>
      </c>
      <c r="B444" s="4" t="n">
        <v>45736</v>
      </c>
      <c r="C444" s="0" t="s">
        <v>27</v>
      </c>
      <c r="D444" s="3" t="s">
        <v>25</v>
      </c>
      <c r="E444" s="2" t="n">
        <v>1491</v>
      </c>
      <c r="F444" s="5" t="n">
        <f aca="false">VLOOKUP(D444,Lookup!$A$2:$B$4,2,FALSE())</f>
        <v>0.15</v>
      </c>
      <c r="G444" s="2" t="n">
        <f aca="false">ROUND(E444*F444,2)</f>
        <v>223.65</v>
      </c>
      <c r="H444" s="2" t="n">
        <f aca="false">E444+G444</f>
        <v>1714.65</v>
      </c>
      <c r="I444" s="3" t="s">
        <v>22</v>
      </c>
      <c r="J444" s="0" t="str">
        <f aca="false">_xlfn.XLOOKUP(C444,Departments!$A$2:$A$6,Departments!$B$2:$B$6,"Unknown")</f>
        <v>Human Resources</v>
      </c>
    </row>
    <row r="445" customFormat="false" ht="15" hidden="false" customHeight="false" outlineLevel="0" collapsed="false">
      <c r="A445" s="0" t="s">
        <v>472</v>
      </c>
      <c r="B445" s="4" t="n">
        <v>45737</v>
      </c>
      <c r="C445" s="0" t="s">
        <v>30</v>
      </c>
      <c r="D445" s="3" t="s">
        <v>28</v>
      </c>
      <c r="E445" s="2" t="n">
        <v>1528</v>
      </c>
      <c r="F445" s="5" t="n">
        <f aca="false">VLOOKUP(D445,Lookup!$A$2:$B$4,2,FALSE())</f>
        <v>0.05</v>
      </c>
      <c r="G445" s="2" t="n">
        <f aca="false">ROUND(E445*F445,2)</f>
        <v>76.4</v>
      </c>
      <c r="H445" s="2" t="n">
        <f aca="false">E445+G445</f>
        <v>1604.4</v>
      </c>
      <c r="I445" s="3" t="s">
        <v>22</v>
      </c>
      <c r="J445" s="0" t="str">
        <f aca="false">_xlfn.XLOOKUP(C445,Departments!$A$2:$A$6,Departments!$B$2:$B$6,"Unknown")</f>
        <v>Technology</v>
      </c>
    </row>
    <row r="446" customFormat="false" ht="15" hidden="false" customHeight="false" outlineLevel="0" collapsed="false">
      <c r="A446" s="0" t="s">
        <v>473</v>
      </c>
      <c r="B446" s="4" t="n">
        <v>45738</v>
      </c>
      <c r="C446" s="0" t="s">
        <v>32</v>
      </c>
      <c r="D446" s="3" t="s">
        <v>21</v>
      </c>
      <c r="E446" s="2" t="n">
        <v>1565</v>
      </c>
      <c r="F446" s="5" t="n">
        <f aca="false">VLOOKUP(D446,Lookup!$A$2:$B$4,2,FALSE())</f>
        <v>0.1</v>
      </c>
      <c r="G446" s="2" t="n">
        <f aca="false">ROUND(E446*F446,2)</f>
        <v>156.5</v>
      </c>
      <c r="H446" s="2" t="n">
        <f aca="false">E446+G446</f>
        <v>1721.5</v>
      </c>
      <c r="I446" s="3" t="s">
        <v>22</v>
      </c>
      <c r="J446" s="0" t="str">
        <f aca="false">_xlfn.XLOOKUP(C446,Departments!$A$2:$A$6,Departments!$B$2:$B$6,"Unknown")</f>
        <v>Operations</v>
      </c>
    </row>
    <row r="447" customFormat="false" ht="15" hidden="false" customHeight="false" outlineLevel="0" collapsed="false">
      <c r="A447" s="0" t="s">
        <v>474</v>
      </c>
      <c r="B447" s="4" t="n">
        <v>45739</v>
      </c>
      <c r="C447" s="0" t="s">
        <v>20</v>
      </c>
      <c r="D447" s="3" t="s">
        <v>25</v>
      </c>
      <c r="E447" s="2" t="n">
        <v>1602</v>
      </c>
      <c r="F447" s="5" t="n">
        <f aca="false">VLOOKUP(D447,Lookup!$A$2:$B$4,2,FALSE())</f>
        <v>0.15</v>
      </c>
      <c r="G447" s="2" t="n">
        <f aca="false">ROUND(E447*F447,2)</f>
        <v>240.3</v>
      </c>
      <c r="H447" s="2" t="n">
        <f aca="false">E447+G447</f>
        <v>1842.3</v>
      </c>
      <c r="I447" s="3" t="s">
        <v>22</v>
      </c>
      <c r="J447" s="0" t="str">
        <f aca="false">_xlfn.XLOOKUP(C447,Departments!$A$2:$A$6,Departments!$B$2:$B$6,"Unknown")</f>
        <v>Finance</v>
      </c>
    </row>
    <row r="448" customFormat="false" ht="15" hidden="false" customHeight="false" outlineLevel="0" collapsed="false">
      <c r="A448" s="0" t="s">
        <v>475</v>
      </c>
      <c r="B448" s="4" t="n">
        <v>45740</v>
      </c>
      <c r="C448" s="0" t="s">
        <v>24</v>
      </c>
      <c r="D448" s="3" t="s">
        <v>28</v>
      </c>
      <c r="E448" s="2" t="n">
        <v>1639</v>
      </c>
      <c r="F448" s="5" t="n">
        <f aca="false">VLOOKUP(D448,Lookup!$A$2:$B$4,2,FALSE())</f>
        <v>0.05</v>
      </c>
      <c r="G448" s="2" t="n">
        <f aca="false">ROUND(E448*F448,2)</f>
        <v>81.95</v>
      </c>
      <c r="H448" s="2" t="n">
        <f aca="false">E448+G448</f>
        <v>1720.95</v>
      </c>
      <c r="I448" s="3" t="s">
        <v>22</v>
      </c>
      <c r="J448" s="0" t="str">
        <f aca="false">_xlfn.XLOOKUP(C448,Departments!$A$2:$A$6,Departments!$B$2:$B$6,"Unknown")</f>
        <v>Quality</v>
      </c>
    </row>
    <row r="449" customFormat="false" ht="15" hidden="false" customHeight="false" outlineLevel="0" collapsed="false">
      <c r="A449" s="0" t="s">
        <v>476</v>
      </c>
      <c r="B449" s="4" t="n">
        <v>45741</v>
      </c>
      <c r="C449" s="0" t="s">
        <v>27</v>
      </c>
      <c r="D449" s="3" t="s">
        <v>21</v>
      </c>
      <c r="E449" s="2" t="n">
        <v>1676</v>
      </c>
      <c r="F449" s="5" t="n">
        <f aca="false">VLOOKUP(D449,Lookup!$A$2:$B$4,2,FALSE())</f>
        <v>0.1</v>
      </c>
      <c r="G449" s="2" t="n">
        <f aca="false">ROUND(E449*F449,2)</f>
        <v>167.6</v>
      </c>
      <c r="H449" s="2" t="n">
        <f aca="false">E449+G449</f>
        <v>1843.6</v>
      </c>
      <c r="I449" s="3" t="s">
        <v>35</v>
      </c>
      <c r="J449" s="0" t="str">
        <f aca="false">_xlfn.XLOOKUP(C449,Departments!$A$2:$A$6,Departments!$B$2:$B$6,"Unknown")</f>
        <v>Human Resources</v>
      </c>
    </row>
    <row r="450" customFormat="false" ht="15" hidden="false" customHeight="false" outlineLevel="0" collapsed="false">
      <c r="A450" s="0" t="s">
        <v>477</v>
      </c>
      <c r="B450" s="4" t="n">
        <v>45742</v>
      </c>
      <c r="C450" s="0" t="s">
        <v>30</v>
      </c>
      <c r="D450" s="3" t="s">
        <v>25</v>
      </c>
      <c r="E450" s="2" t="n">
        <v>1713</v>
      </c>
      <c r="F450" s="5" t="n">
        <f aca="false">VLOOKUP(D450,Lookup!$A$2:$B$4,2,FALSE())</f>
        <v>0.15</v>
      </c>
      <c r="G450" s="2" t="n">
        <f aca="false">ROUND(E450*F450,2)</f>
        <v>256.95</v>
      </c>
      <c r="H450" s="2" t="n">
        <f aca="false">E450+G450</f>
        <v>1969.95</v>
      </c>
      <c r="I450" s="3" t="s">
        <v>22</v>
      </c>
      <c r="J450" s="0" t="str">
        <f aca="false">_xlfn.XLOOKUP(C450,Departments!$A$2:$A$6,Departments!$B$2:$B$6,"Unknown")</f>
        <v>Technology</v>
      </c>
    </row>
    <row r="451" customFormat="false" ht="15" hidden="false" customHeight="false" outlineLevel="0" collapsed="false">
      <c r="A451" s="0" t="s">
        <v>478</v>
      </c>
      <c r="B451" s="4" t="n">
        <v>45743</v>
      </c>
      <c r="C451" s="0" t="s">
        <v>32</v>
      </c>
      <c r="D451" s="3" t="s">
        <v>28</v>
      </c>
      <c r="E451" s="2" t="n">
        <v>1750</v>
      </c>
      <c r="F451" s="5" t="n">
        <f aca="false">VLOOKUP(D451,Lookup!$A$2:$B$4,2,FALSE())</f>
        <v>0.05</v>
      </c>
      <c r="G451" s="2" t="n">
        <f aca="false">ROUND(E451*F451,2)</f>
        <v>87.5</v>
      </c>
      <c r="H451" s="2" t="n">
        <f aca="false">E451+G451</f>
        <v>1837.5</v>
      </c>
      <c r="I451" s="3" t="s">
        <v>22</v>
      </c>
      <c r="J451" s="0" t="str">
        <f aca="false">_xlfn.XLOOKUP(C451,Departments!$A$2:$A$6,Departments!$B$2:$B$6,"Unknown")</f>
        <v>Operations</v>
      </c>
    </row>
    <row r="452" customFormat="false" ht="15" hidden="false" customHeight="false" outlineLevel="0" collapsed="false">
      <c r="A452" s="0" t="s">
        <v>479</v>
      </c>
      <c r="B452" s="4" t="n">
        <v>45744</v>
      </c>
      <c r="C452" s="0" t="s">
        <v>20</v>
      </c>
      <c r="D452" s="3" t="s">
        <v>21</v>
      </c>
      <c r="E452" s="2" t="n">
        <v>1787</v>
      </c>
      <c r="F452" s="5" t="n">
        <f aca="false">VLOOKUP(D452,Lookup!$A$2:$B$4,2,FALSE())</f>
        <v>0.1</v>
      </c>
      <c r="G452" s="2" t="n">
        <f aca="false">ROUND(E452*F452,2)</f>
        <v>178.7</v>
      </c>
      <c r="H452" s="2" t="n">
        <f aca="false">E452+G452</f>
        <v>1965.7</v>
      </c>
      <c r="I452" s="3" t="s">
        <v>22</v>
      </c>
      <c r="J452" s="0" t="str">
        <f aca="false">_xlfn.XLOOKUP(C452,Departments!$A$2:$A$6,Departments!$B$2:$B$6,"Unknown")</f>
        <v>Finance</v>
      </c>
    </row>
    <row r="453" customFormat="false" ht="15" hidden="false" customHeight="false" outlineLevel="0" collapsed="false">
      <c r="A453" s="0" t="s">
        <v>480</v>
      </c>
      <c r="B453" s="4" t="n">
        <v>45745</v>
      </c>
      <c r="C453" s="0" t="s">
        <v>24</v>
      </c>
      <c r="D453" s="3" t="s">
        <v>25</v>
      </c>
      <c r="E453" s="2" t="n">
        <v>1824</v>
      </c>
      <c r="F453" s="5" t="n">
        <f aca="false">VLOOKUP(D453,Lookup!$A$2:$B$4,2,FALSE())</f>
        <v>0.15</v>
      </c>
      <c r="G453" s="2" t="n">
        <f aca="false">ROUND(E453*F453,2)</f>
        <v>273.6</v>
      </c>
      <c r="H453" s="2" t="n">
        <f aca="false">E453+G453</f>
        <v>2097.6</v>
      </c>
      <c r="I453" s="3" t="s">
        <v>22</v>
      </c>
      <c r="J453" s="0" t="str">
        <f aca="false">_xlfn.XLOOKUP(C453,Departments!$A$2:$A$6,Departments!$B$2:$B$6,"Unknown")</f>
        <v>Quality</v>
      </c>
    </row>
    <row r="454" customFormat="false" ht="15" hidden="false" customHeight="false" outlineLevel="0" collapsed="false">
      <c r="A454" s="0" t="s">
        <v>481</v>
      </c>
      <c r="B454" s="4" t="n">
        <v>45746</v>
      </c>
      <c r="C454" s="0" t="s">
        <v>27</v>
      </c>
      <c r="D454" s="3" t="s">
        <v>28</v>
      </c>
      <c r="E454" s="2" t="n">
        <v>1861</v>
      </c>
      <c r="F454" s="5" t="n">
        <f aca="false">VLOOKUP(D454,Lookup!$A$2:$B$4,2,FALSE())</f>
        <v>0.05</v>
      </c>
      <c r="G454" s="2" t="n">
        <f aca="false">ROUND(E454*F454,2)</f>
        <v>93.05</v>
      </c>
      <c r="H454" s="2" t="n">
        <f aca="false">E454+G454</f>
        <v>1954.05</v>
      </c>
      <c r="I454" s="3" t="s">
        <v>22</v>
      </c>
      <c r="J454" s="0" t="str">
        <f aca="false">_xlfn.XLOOKUP(C454,Departments!$A$2:$A$6,Departments!$B$2:$B$6,"Unknown")</f>
        <v>Human Resources</v>
      </c>
    </row>
    <row r="455" customFormat="false" ht="15" hidden="false" customHeight="false" outlineLevel="0" collapsed="false">
      <c r="A455" s="0" t="s">
        <v>482</v>
      </c>
      <c r="B455" s="4" t="n">
        <v>45747</v>
      </c>
      <c r="C455" s="0" t="s">
        <v>30</v>
      </c>
      <c r="D455" s="3" t="s">
        <v>21</v>
      </c>
      <c r="E455" s="2" t="n">
        <v>1898</v>
      </c>
      <c r="F455" s="5" t="n">
        <f aca="false">VLOOKUP(D455,Lookup!$A$2:$B$4,2,FALSE())</f>
        <v>0.1</v>
      </c>
      <c r="G455" s="2" t="n">
        <f aca="false">ROUND(E455*F455,2)</f>
        <v>189.8</v>
      </c>
      <c r="H455" s="2" t="n">
        <f aca="false">E455+G455</f>
        <v>2087.8</v>
      </c>
      <c r="I455" s="3" t="s">
        <v>22</v>
      </c>
      <c r="J455" s="0" t="str">
        <f aca="false">_xlfn.XLOOKUP(C455,Departments!$A$2:$A$6,Departments!$B$2:$B$6,"Unknown")</f>
        <v>Technology</v>
      </c>
    </row>
    <row r="456" customFormat="false" ht="15" hidden="false" customHeight="false" outlineLevel="0" collapsed="false">
      <c r="A456" s="0" t="s">
        <v>483</v>
      </c>
      <c r="B456" s="4" t="n">
        <v>45748</v>
      </c>
      <c r="C456" s="0" t="s">
        <v>32</v>
      </c>
      <c r="D456" s="3" t="s">
        <v>25</v>
      </c>
      <c r="E456" s="2" t="n">
        <v>1935</v>
      </c>
      <c r="F456" s="5" t="n">
        <f aca="false">VLOOKUP(D456,Lookup!$A$2:$B$4,2,FALSE())</f>
        <v>0.15</v>
      </c>
      <c r="G456" s="2" t="n">
        <f aca="false">ROUND(E456*F456,2)</f>
        <v>290.25</v>
      </c>
      <c r="H456" s="2" t="n">
        <f aca="false">E456+G456</f>
        <v>2225.25</v>
      </c>
      <c r="I456" s="3" t="s">
        <v>35</v>
      </c>
      <c r="J456" s="0" t="str">
        <f aca="false">_xlfn.XLOOKUP(C456,Departments!$A$2:$A$6,Departments!$B$2:$B$6,"Unknown")</f>
        <v>Operations</v>
      </c>
    </row>
    <row r="457" customFormat="false" ht="15" hidden="false" customHeight="false" outlineLevel="0" collapsed="false">
      <c r="A457" s="0" t="s">
        <v>484</v>
      </c>
      <c r="B457" s="4" t="n">
        <v>45749</v>
      </c>
      <c r="C457" s="0" t="s">
        <v>20</v>
      </c>
      <c r="D457" s="3" t="s">
        <v>28</v>
      </c>
      <c r="E457" s="2" t="n">
        <v>1972</v>
      </c>
      <c r="F457" s="5" t="n">
        <f aca="false">VLOOKUP(D457,Lookup!$A$2:$B$4,2,FALSE())</f>
        <v>0.05</v>
      </c>
      <c r="G457" s="2" t="n">
        <f aca="false">ROUND(E457*F457,2)</f>
        <v>98.6</v>
      </c>
      <c r="H457" s="2" t="n">
        <f aca="false">E457+G457</f>
        <v>2070.6</v>
      </c>
      <c r="I457" s="3" t="s">
        <v>22</v>
      </c>
      <c r="J457" s="0" t="str">
        <f aca="false">_xlfn.XLOOKUP(C457,Departments!$A$2:$A$6,Departments!$B$2:$B$6,"Unknown")</f>
        <v>Finance</v>
      </c>
    </row>
    <row r="458" customFormat="false" ht="15" hidden="false" customHeight="false" outlineLevel="0" collapsed="false">
      <c r="A458" s="0" t="s">
        <v>485</v>
      </c>
      <c r="B458" s="4" t="n">
        <v>45750</v>
      </c>
      <c r="C458" s="0" t="s">
        <v>24</v>
      </c>
      <c r="D458" s="3" t="s">
        <v>21</v>
      </c>
      <c r="E458" s="2" t="n">
        <v>2009</v>
      </c>
      <c r="F458" s="5" t="n">
        <f aca="false">VLOOKUP(D458,Lookup!$A$2:$B$4,2,FALSE())</f>
        <v>0.1</v>
      </c>
      <c r="G458" s="2" t="n">
        <f aca="false">ROUND(E458*F458,2)</f>
        <v>200.9</v>
      </c>
      <c r="H458" s="2" t="n">
        <f aca="false">E458+G458</f>
        <v>2209.9</v>
      </c>
      <c r="I458" s="3" t="s">
        <v>22</v>
      </c>
      <c r="J458" s="0" t="str">
        <f aca="false">_xlfn.XLOOKUP(C458,Departments!$A$2:$A$6,Departments!$B$2:$B$6,"Unknown")</f>
        <v>Quality</v>
      </c>
    </row>
    <row r="459" customFormat="false" ht="15" hidden="false" customHeight="false" outlineLevel="0" collapsed="false">
      <c r="A459" s="0" t="s">
        <v>486</v>
      </c>
      <c r="B459" s="4" t="n">
        <v>45751</v>
      </c>
      <c r="C459" s="0" t="s">
        <v>27</v>
      </c>
      <c r="D459" s="3" t="s">
        <v>25</v>
      </c>
      <c r="E459" s="2" t="n">
        <v>2046</v>
      </c>
      <c r="F459" s="5" t="n">
        <f aca="false">VLOOKUP(D459,Lookup!$A$2:$B$4,2,FALSE())</f>
        <v>0.15</v>
      </c>
      <c r="G459" s="2" t="n">
        <f aca="false">ROUND(E459*F459,2)</f>
        <v>306.9</v>
      </c>
      <c r="H459" s="2" t="n">
        <f aca="false">E459+G459</f>
        <v>2352.9</v>
      </c>
      <c r="I459" s="3" t="s">
        <v>22</v>
      </c>
      <c r="J459" s="0" t="str">
        <f aca="false">_xlfn.XLOOKUP(C459,Departments!$A$2:$A$6,Departments!$B$2:$B$6,"Unknown")</f>
        <v>Human Resources</v>
      </c>
    </row>
    <row r="460" customFormat="false" ht="15" hidden="false" customHeight="false" outlineLevel="0" collapsed="false">
      <c r="A460" s="0" t="s">
        <v>487</v>
      </c>
      <c r="B460" s="4" t="n">
        <v>45752</v>
      </c>
      <c r="C460" s="0" t="s">
        <v>30</v>
      </c>
      <c r="D460" s="3" t="s">
        <v>28</v>
      </c>
      <c r="E460" s="2" t="n">
        <v>2083</v>
      </c>
      <c r="F460" s="5" t="n">
        <f aca="false">VLOOKUP(D460,Lookup!$A$2:$B$4,2,FALSE())</f>
        <v>0.05</v>
      </c>
      <c r="G460" s="2" t="n">
        <f aca="false">ROUND(E460*F460,2)</f>
        <v>104.15</v>
      </c>
      <c r="H460" s="2" t="n">
        <f aca="false">E460+G460</f>
        <v>2187.15</v>
      </c>
      <c r="I460" s="3" t="s">
        <v>22</v>
      </c>
      <c r="J460" s="0" t="str">
        <f aca="false">_xlfn.XLOOKUP(C460,Departments!$A$2:$A$6,Departments!$B$2:$B$6,"Unknown")</f>
        <v>Technology</v>
      </c>
    </row>
    <row r="461" customFormat="false" ht="15" hidden="false" customHeight="false" outlineLevel="0" collapsed="false">
      <c r="A461" s="0" t="s">
        <v>488</v>
      </c>
      <c r="B461" s="4" t="n">
        <v>45753</v>
      </c>
      <c r="C461" s="0" t="s">
        <v>32</v>
      </c>
      <c r="D461" s="3" t="s">
        <v>21</v>
      </c>
      <c r="E461" s="2" t="n">
        <v>2120</v>
      </c>
      <c r="F461" s="5" t="n">
        <f aca="false">VLOOKUP(D461,Lookup!$A$2:$B$4,2,FALSE())</f>
        <v>0.1</v>
      </c>
      <c r="G461" s="2" t="n">
        <f aca="false">ROUND(E461*F461,2)</f>
        <v>212</v>
      </c>
      <c r="H461" s="2" t="n">
        <f aca="false">E461+G461</f>
        <v>2332</v>
      </c>
      <c r="I461" s="3" t="s">
        <v>22</v>
      </c>
      <c r="J461" s="0" t="str">
        <f aca="false">_xlfn.XLOOKUP(C461,Departments!$A$2:$A$6,Departments!$B$2:$B$6,"Unknown")</f>
        <v>Operations</v>
      </c>
    </row>
    <row r="462" customFormat="false" ht="15" hidden="false" customHeight="false" outlineLevel="0" collapsed="false">
      <c r="A462" s="0" t="s">
        <v>489</v>
      </c>
      <c r="B462" s="4" t="n">
        <v>45754</v>
      </c>
      <c r="C462" s="0" t="s">
        <v>20</v>
      </c>
      <c r="D462" s="3" t="s">
        <v>25</v>
      </c>
      <c r="E462" s="2" t="n">
        <v>2157</v>
      </c>
      <c r="F462" s="5" t="n">
        <f aca="false">VLOOKUP(D462,Lookup!$A$2:$B$4,2,FALSE())</f>
        <v>0.15</v>
      </c>
      <c r="G462" s="2" t="n">
        <f aca="false">ROUND(E462*F462,2)</f>
        <v>323.55</v>
      </c>
      <c r="H462" s="2" t="n">
        <f aca="false">E462+G462</f>
        <v>2480.55</v>
      </c>
      <c r="I462" s="3" t="s">
        <v>22</v>
      </c>
      <c r="J462" s="0" t="str">
        <f aca="false">_xlfn.XLOOKUP(C462,Departments!$A$2:$A$6,Departments!$B$2:$B$6,"Unknown")</f>
        <v>Finance</v>
      </c>
    </row>
    <row r="463" customFormat="false" ht="15" hidden="false" customHeight="false" outlineLevel="0" collapsed="false">
      <c r="A463" s="0" t="s">
        <v>490</v>
      </c>
      <c r="B463" s="4" t="n">
        <v>45755</v>
      </c>
      <c r="C463" s="0" t="s">
        <v>24</v>
      </c>
      <c r="D463" s="3" t="s">
        <v>28</v>
      </c>
      <c r="E463" s="2" t="n">
        <v>2194</v>
      </c>
      <c r="F463" s="5" t="n">
        <f aca="false">VLOOKUP(D463,Lookup!$A$2:$B$4,2,FALSE())</f>
        <v>0.05</v>
      </c>
      <c r="G463" s="2" t="n">
        <f aca="false">ROUND(E463*F463,2)</f>
        <v>109.7</v>
      </c>
      <c r="H463" s="2" t="n">
        <f aca="false">E463+G463</f>
        <v>2303.7</v>
      </c>
      <c r="I463" s="3" t="s">
        <v>35</v>
      </c>
      <c r="J463" s="0" t="str">
        <f aca="false">_xlfn.XLOOKUP(C463,Departments!$A$2:$A$6,Departments!$B$2:$B$6,"Unknown")</f>
        <v>Quality</v>
      </c>
    </row>
    <row r="464" customFormat="false" ht="15" hidden="false" customHeight="false" outlineLevel="0" collapsed="false">
      <c r="A464" s="0" t="s">
        <v>491</v>
      </c>
      <c r="B464" s="4" t="n">
        <v>45756</v>
      </c>
      <c r="C464" s="0" t="s">
        <v>27</v>
      </c>
      <c r="D464" s="3" t="s">
        <v>21</v>
      </c>
      <c r="E464" s="2" t="n">
        <v>2231</v>
      </c>
      <c r="F464" s="5" t="n">
        <f aca="false">VLOOKUP(D464,Lookup!$A$2:$B$4,2,FALSE())</f>
        <v>0.1</v>
      </c>
      <c r="G464" s="2" t="n">
        <f aca="false">ROUND(E464*F464,2)</f>
        <v>223.1</v>
      </c>
      <c r="H464" s="2" t="n">
        <f aca="false">E464+G464</f>
        <v>2454.1</v>
      </c>
      <c r="I464" s="3" t="s">
        <v>22</v>
      </c>
      <c r="J464" s="0" t="str">
        <f aca="false">_xlfn.XLOOKUP(C464,Departments!$A$2:$A$6,Departments!$B$2:$B$6,"Unknown")</f>
        <v>Human Resources</v>
      </c>
    </row>
    <row r="465" customFormat="false" ht="15" hidden="false" customHeight="false" outlineLevel="0" collapsed="false">
      <c r="A465" s="0" t="s">
        <v>492</v>
      </c>
      <c r="B465" s="4" t="n">
        <v>45757</v>
      </c>
      <c r="C465" s="0" t="s">
        <v>30</v>
      </c>
      <c r="D465" s="3" t="s">
        <v>25</v>
      </c>
      <c r="E465" s="2" t="n">
        <v>2268</v>
      </c>
      <c r="F465" s="5" t="n">
        <f aca="false">VLOOKUP(D465,Lookup!$A$2:$B$4,2,FALSE())</f>
        <v>0.15</v>
      </c>
      <c r="G465" s="2" t="n">
        <f aca="false">ROUND(E465*F465,2)</f>
        <v>340.2</v>
      </c>
      <c r="H465" s="2" t="n">
        <f aca="false">E465+G465</f>
        <v>2608.2</v>
      </c>
      <c r="I465" s="3" t="s">
        <v>22</v>
      </c>
      <c r="J465" s="0" t="str">
        <f aca="false">_xlfn.XLOOKUP(C465,Departments!$A$2:$A$6,Departments!$B$2:$B$6,"Unknown")</f>
        <v>Technology</v>
      </c>
    </row>
    <row r="466" customFormat="false" ht="15" hidden="false" customHeight="false" outlineLevel="0" collapsed="false">
      <c r="A466" s="0" t="s">
        <v>493</v>
      </c>
      <c r="B466" s="4" t="n">
        <v>45758</v>
      </c>
      <c r="C466" s="0" t="s">
        <v>32</v>
      </c>
      <c r="D466" s="3" t="s">
        <v>28</v>
      </c>
      <c r="E466" s="2" t="n">
        <v>2305</v>
      </c>
      <c r="F466" s="5" t="n">
        <f aca="false">VLOOKUP(D466,Lookup!$A$2:$B$4,2,FALSE())</f>
        <v>0.05</v>
      </c>
      <c r="G466" s="2" t="n">
        <f aca="false">ROUND(E466*F466,2)</f>
        <v>115.25</v>
      </c>
      <c r="H466" s="2" t="n">
        <f aca="false">E466+G466</f>
        <v>2420.25</v>
      </c>
      <c r="I466" s="3" t="s">
        <v>22</v>
      </c>
      <c r="J466" s="0" t="str">
        <f aca="false">_xlfn.XLOOKUP(C466,Departments!$A$2:$A$6,Departments!$B$2:$B$6,"Unknown")</f>
        <v>Operations</v>
      </c>
    </row>
    <row r="467" customFormat="false" ht="15" hidden="false" customHeight="false" outlineLevel="0" collapsed="false">
      <c r="A467" s="0" t="s">
        <v>494</v>
      </c>
      <c r="B467" s="4" t="n">
        <v>45759</v>
      </c>
      <c r="C467" s="0" t="s">
        <v>20</v>
      </c>
      <c r="D467" s="3" t="s">
        <v>21</v>
      </c>
      <c r="E467" s="2" t="n">
        <v>2342</v>
      </c>
      <c r="F467" s="5" t="n">
        <f aca="false">VLOOKUP(D467,Lookup!$A$2:$B$4,2,FALSE())</f>
        <v>0.1</v>
      </c>
      <c r="G467" s="2" t="n">
        <f aca="false">ROUND(E467*F467,2)</f>
        <v>234.2</v>
      </c>
      <c r="H467" s="2" t="n">
        <f aca="false">E467+G467</f>
        <v>2576.2</v>
      </c>
      <c r="I467" s="3" t="s">
        <v>22</v>
      </c>
      <c r="J467" s="0" t="str">
        <f aca="false">_xlfn.XLOOKUP(C467,Departments!$A$2:$A$6,Departments!$B$2:$B$6,"Unknown")</f>
        <v>Finance</v>
      </c>
    </row>
    <row r="468" customFormat="false" ht="15" hidden="false" customHeight="false" outlineLevel="0" collapsed="false">
      <c r="A468" s="0" t="s">
        <v>495</v>
      </c>
      <c r="B468" s="4" t="n">
        <v>45760</v>
      </c>
      <c r="C468" s="0" t="s">
        <v>24</v>
      </c>
      <c r="D468" s="3" t="s">
        <v>25</v>
      </c>
      <c r="E468" s="2" t="n">
        <v>2379</v>
      </c>
      <c r="F468" s="5" t="n">
        <f aca="false">VLOOKUP(D468,Lookup!$A$2:$B$4,2,FALSE())</f>
        <v>0.15</v>
      </c>
      <c r="G468" s="2" t="n">
        <f aca="false">ROUND(E468*F468,2)</f>
        <v>356.85</v>
      </c>
      <c r="H468" s="2" t="n">
        <f aca="false">E468+G468</f>
        <v>2735.85</v>
      </c>
      <c r="I468" s="3" t="s">
        <v>22</v>
      </c>
      <c r="J468" s="0" t="str">
        <f aca="false">_xlfn.XLOOKUP(C468,Departments!$A$2:$A$6,Departments!$B$2:$B$6,"Unknown")</f>
        <v>Quality</v>
      </c>
    </row>
    <row r="469" customFormat="false" ht="15" hidden="false" customHeight="false" outlineLevel="0" collapsed="false">
      <c r="A469" s="0" t="s">
        <v>496</v>
      </c>
      <c r="B469" s="4" t="n">
        <v>45761</v>
      </c>
      <c r="C469" s="0" t="s">
        <v>27</v>
      </c>
      <c r="D469" s="3" t="s">
        <v>28</v>
      </c>
      <c r="E469" s="2" t="n">
        <v>2416</v>
      </c>
      <c r="F469" s="5" t="n">
        <f aca="false">VLOOKUP(D469,Lookup!$A$2:$B$4,2,FALSE())</f>
        <v>0.05</v>
      </c>
      <c r="G469" s="2" t="n">
        <f aca="false">ROUND(E469*F469,2)</f>
        <v>120.8</v>
      </c>
      <c r="H469" s="2" t="n">
        <f aca="false">E469+G469</f>
        <v>2536.8</v>
      </c>
      <c r="I469" s="3" t="s">
        <v>22</v>
      </c>
      <c r="J469" s="0" t="str">
        <f aca="false">_xlfn.XLOOKUP(C469,Departments!$A$2:$A$6,Departments!$B$2:$B$6,"Unknown")</f>
        <v>Human Resources</v>
      </c>
    </row>
    <row r="470" customFormat="false" ht="15" hidden="false" customHeight="false" outlineLevel="0" collapsed="false">
      <c r="A470" s="0" t="s">
        <v>497</v>
      </c>
      <c r="B470" s="4" t="n">
        <v>45762</v>
      </c>
      <c r="C470" s="0" t="s">
        <v>30</v>
      </c>
      <c r="D470" s="3" t="s">
        <v>21</v>
      </c>
      <c r="E470" s="2" t="n">
        <v>2453</v>
      </c>
      <c r="F470" s="5" t="n">
        <f aca="false">VLOOKUP(D470,Lookup!$A$2:$B$4,2,FALSE())</f>
        <v>0.1</v>
      </c>
      <c r="G470" s="2" t="n">
        <f aca="false">ROUND(E470*F470,2)</f>
        <v>245.3</v>
      </c>
      <c r="H470" s="2" t="n">
        <f aca="false">E470+G470</f>
        <v>2698.3</v>
      </c>
      <c r="I470" s="3" t="s">
        <v>35</v>
      </c>
      <c r="J470" s="0" t="str">
        <f aca="false">_xlfn.XLOOKUP(C470,Departments!$A$2:$A$6,Departments!$B$2:$B$6,"Unknown")</f>
        <v>Technology</v>
      </c>
    </row>
    <row r="471" customFormat="false" ht="15" hidden="false" customHeight="false" outlineLevel="0" collapsed="false">
      <c r="A471" s="0" t="s">
        <v>498</v>
      </c>
      <c r="B471" s="4" t="n">
        <v>45763</v>
      </c>
      <c r="C471" s="0" t="s">
        <v>32</v>
      </c>
      <c r="D471" s="3" t="s">
        <v>25</v>
      </c>
      <c r="E471" s="2" t="n">
        <v>2490</v>
      </c>
      <c r="F471" s="5" t="n">
        <f aca="false">VLOOKUP(D471,Lookup!$A$2:$B$4,2,FALSE())</f>
        <v>0.15</v>
      </c>
      <c r="G471" s="2" t="n">
        <f aca="false">ROUND(E471*F471,2)</f>
        <v>373.5</v>
      </c>
      <c r="H471" s="2" t="n">
        <f aca="false">E471+G471</f>
        <v>2863.5</v>
      </c>
      <c r="I471" s="3" t="s">
        <v>22</v>
      </c>
      <c r="J471" s="0" t="str">
        <f aca="false">_xlfn.XLOOKUP(C471,Departments!$A$2:$A$6,Departments!$B$2:$B$6,"Unknown")</f>
        <v>Operations</v>
      </c>
    </row>
    <row r="472" customFormat="false" ht="15" hidden="false" customHeight="false" outlineLevel="0" collapsed="false">
      <c r="A472" s="0" t="s">
        <v>499</v>
      </c>
      <c r="B472" s="4" t="n">
        <v>45764</v>
      </c>
      <c r="C472" s="0" t="s">
        <v>20</v>
      </c>
      <c r="D472" s="3" t="s">
        <v>28</v>
      </c>
      <c r="E472" s="2" t="n">
        <v>2527</v>
      </c>
      <c r="F472" s="5" t="n">
        <f aca="false">VLOOKUP(D472,Lookup!$A$2:$B$4,2,FALSE())</f>
        <v>0.05</v>
      </c>
      <c r="G472" s="2" t="n">
        <f aca="false">ROUND(E472*F472,2)</f>
        <v>126.35</v>
      </c>
      <c r="H472" s="2" t="n">
        <f aca="false">E472+G472</f>
        <v>2653.35</v>
      </c>
      <c r="I472" s="3" t="s">
        <v>22</v>
      </c>
      <c r="J472" s="0" t="str">
        <f aca="false">_xlfn.XLOOKUP(C472,Departments!$A$2:$A$6,Departments!$B$2:$B$6,"Unknown")</f>
        <v>Finance</v>
      </c>
    </row>
    <row r="473" customFormat="false" ht="15" hidden="false" customHeight="false" outlineLevel="0" collapsed="false">
      <c r="A473" s="0" t="s">
        <v>500</v>
      </c>
      <c r="B473" s="4" t="n">
        <v>45765</v>
      </c>
      <c r="C473" s="0" t="s">
        <v>24</v>
      </c>
      <c r="D473" s="3" t="s">
        <v>21</v>
      </c>
      <c r="E473" s="2" t="n">
        <v>2564</v>
      </c>
      <c r="F473" s="5" t="n">
        <f aca="false">VLOOKUP(D473,Lookup!$A$2:$B$4,2,FALSE())</f>
        <v>0.1</v>
      </c>
      <c r="G473" s="2" t="n">
        <f aca="false">ROUND(E473*F473,2)</f>
        <v>256.4</v>
      </c>
      <c r="H473" s="2" t="n">
        <f aca="false">E473+G473</f>
        <v>2820.4</v>
      </c>
      <c r="I473" s="3" t="s">
        <v>22</v>
      </c>
      <c r="J473" s="0" t="str">
        <f aca="false">_xlfn.XLOOKUP(C473,Departments!$A$2:$A$6,Departments!$B$2:$B$6,"Unknown")</f>
        <v>Quality</v>
      </c>
    </row>
    <row r="474" customFormat="false" ht="15" hidden="false" customHeight="false" outlineLevel="0" collapsed="false">
      <c r="A474" s="0" t="s">
        <v>501</v>
      </c>
      <c r="B474" s="4" t="n">
        <v>45766</v>
      </c>
      <c r="C474" s="0" t="s">
        <v>27</v>
      </c>
      <c r="D474" s="3" t="s">
        <v>25</v>
      </c>
      <c r="E474" s="2" t="n">
        <v>2601</v>
      </c>
      <c r="F474" s="5" t="n">
        <f aca="false">VLOOKUP(D474,Lookup!$A$2:$B$4,2,FALSE())</f>
        <v>0.15</v>
      </c>
      <c r="G474" s="2" t="n">
        <f aca="false">ROUND(E474*F474,2)</f>
        <v>390.15</v>
      </c>
      <c r="H474" s="2" t="n">
        <f aca="false">E474+G474</f>
        <v>2991.15</v>
      </c>
      <c r="I474" s="3" t="s">
        <v>22</v>
      </c>
      <c r="J474" s="0" t="str">
        <f aca="false">_xlfn.XLOOKUP(C474,Departments!$A$2:$A$6,Departments!$B$2:$B$6,"Unknown")</f>
        <v>Human Resources</v>
      </c>
    </row>
    <row r="475" customFormat="false" ht="15" hidden="false" customHeight="false" outlineLevel="0" collapsed="false">
      <c r="A475" s="0" t="s">
        <v>502</v>
      </c>
      <c r="B475" s="4" t="n">
        <v>45767</v>
      </c>
      <c r="C475" s="0" t="s">
        <v>30</v>
      </c>
      <c r="D475" s="3" t="s">
        <v>28</v>
      </c>
      <c r="E475" s="2" t="n">
        <v>2638</v>
      </c>
      <c r="F475" s="5" t="n">
        <f aca="false">VLOOKUP(D475,Lookup!$A$2:$B$4,2,FALSE())</f>
        <v>0.05</v>
      </c>
      <c r="G475" s="2" t="n">
        <f aca="false">ROUND(E475*F475,2)</f>
        <v>131.9</v>
      </c>
      <c r="H475" s="2" t="n">
        <f aca="false">E475+G475</f>
        <v>2769.9</v>
      </c>
      <c r="I475" s="3" t="s">
        <v>22</v>
      </c>
      <c r="J475" s="0" t="str">
        <f aca="false">_xlfn.XLOOKUP(C475,Departments!$A$2:$A$6,Departments!$B$2:$B$6,"Unknown")</f>
        <v>Technology</v>
      </c>
    </row>
    <row r="476" customFormat="false" ht="15" hidden="false" customHeight="false" outlineLevel="0" collapsed="false">
      <c r="A476" s="0" t="s">
        <v>503</v>
      </c>
      <c r="B476" s="4" t="n">
        <v>45768</v>
      </c>
      <c r="C476" s="0" t="s">
        <v>32</v>
      </c>
      <c r="D476" s="3" t="s">
        <v>21</v>
      </c>
      <c r="E476" s="2" t="n">
        <v>2675</v>
      </c>
      <c r="F476" s="5" t="n">
        <f aca="false">VLOOKUP(D476,Lookup!$A$2:$B$4,2,FALSE())</f>
        <v>0.1</v>
      </c>
      <c r="G476" s="2" t="n">
        <f aca="false">ROUND(E476*F476,2)</f>
        <v>267.5</v>
      </c>
      <c r="H476" s="2" t="n">
        <f aca="false">E476+G476</f>
        <v>2942.5</v>
      </c>
      <c r="I476" s="3" t="s">
        <v>22</v>
      </c>
      <c r="J476" s="0" t="str">
        <f aca="false">_xlfn.XLOOKUP(C476,Departments!$A$2:$A$6,Departments!$B$2:$B$6,"Unknown")</f>
        <v>Operations</v>
      </c>
    </row>
    <row r="477" customFormat="false" ht="15" hidden="false" customHeight="false" outlineLevel="0" collapsed="false">
      <c r="A477" s="0" t="s">
        <v>504</v>
      </c>
      <c r="B477" s="4" t="n">
        <v>45769</v>
      </c>
      <c r="C477" s="0" t="s">
        <v>20</v>
      </c>
      <c r="D477" s="3" t="s">
        <v>25</v>
      </c>
      <c r="E477" s="2" t="n">
        <v>2712</v>
      </c>
      <c r="F477" s="5" t="n">
        <f aca="false">VLOOKUP(D477,Lookup!$A$2:$B$4,2,FALSE())</f>
        <v>0.15</v>
      </c>
      <c r="G477" s="2" t="n">
        <f aca="false">ROUND(E477*F477,2)</f>
        <v>406.8</v>
      </c>
      <c r="H477" s="2" t="n">
        <f aca="false">E477+G477</f>
        <v>3118.8</v>
      </c>
      <c r="I477" s="3" t="s">
        <v>35</v>
      </c>
      <c r="J477" s="0" t="str">
        <f aca="false">_xlfn.XLOOKUP(C477,Departments!$A$2:$A$6,Departments!$B$2:$B$6,"Unknown")</f>
        <v>Finance</v>
      </c>
    </row>
    <row r="478" customFormat="false" ht="15" hidden="false" customHeight="false" outlineLevel="0" collapsed="false">
      <c r="A478" s="0" t="s">
        <v>505</v>
      </c>
      <c r="B478" s="4" t="n">
        <v>45770</v>
      </c>
      <c r="C478" s="0" t="s">
        <v>24</v>
      </c>
      <c r="D478" s="3" t="s">
        <v>28</v>
      </c>
      <c r="E478" s="2" t="n">
        <v>2749</v>
      </c>
      <c r="F478" s="5" t="n">
        <f aca="false">VLOOKUP(D478,Lookup!$A$2:$B$4,2,FALSE())</f>
        <v>0.05</v>
      </c>
      <c r="G478" s="2" t="n">
        <f aca="false">ROUND(E478*F478,2)</f>
        <v>137.45</v>
      </c>
      <c r="H478" s="2" t="n">
        <f aca="false">E478+G478</f>
        <v>2886.45</v>
      </c>
      <c r="I478" s="3" t="s">
        <v>22</v>
      </c>
      <c r="J478" s="0" t="str">
        <f aca="false">_xlfn.XLOOKUP(C478,Departments!$A$2:$A$6,Departments!$B$2:$B$6,"Unknown")</f>
        <v>Quality</v>
      </c>
    </row>
    <row r="479" customFormat="false" ht="15" hidden="false" customHeight="false" outlineLevel="0" collapsed="false">
      <c r="A479" s="0" t="s">
        <v>506</v>
      </c>
      <c r="B479" s="4" t="n">
        <v>45771</v>
      </c>
      <c r="C479" s="0" t="s">
        <v>27</v>
      </c>
      <c r="D479" s="3" t="s">
        <v>21</v>
      </c>
      <c r="E479" s="2" t="n">
        <v>2786</v>
      </c>
      <c r="F479" s="5" t="n">
        <f aca="false">VLOOKUP(D479,Lookup!$A$2:$B$4,2,FALSE())</f>
        <v>0.1</v>
      </c>
      <c r="G479" s="2" t="n">
        <f aca="false">ROUND(E479*F479,2)</f>
        <v>278.6</v>
      </c>
      <c r="H479" s="2" t="n">
        <f aca="false">E479+G479</f>
        <v>3064.6</v>
      </c>
      <c r="I479" s="3" t="s">
        <v>22</v>
      </c>
      <c r="J479" s="0" t="str">
        <f aca="false">_xlfn.XLOOKUP(C479,Departments!$A$2:$A$6,Departments!$B$2:$B$6,"Unknown")</f>
        <v>Human Resources</v>
      </c>
    </row>
    <row r="480" customFormat="false" ht="15" hidden="false" customHeight="false" outlineLevel="0" collapsed="false">
      <c r="A480" s="0" t="s">
        <v>507</v>
      </c>
      <c r="B480" s="4" t="n">
        <v>45772</v>
      </c>
      <c r="C480" s="0" t="s">
        <v>30</v>
      </c>
      <c r="D480" s="3" t="s">
        <v>25</v>
      </c>
      <c r="E480" s="2" t="n">
        <v>2823</v>
      </c>
      <c r="F480" s="5" t="n">
        <f aca="false">VLOOKUP(D480,Lookup!$A$2:$B$4,2,FALSE())</f>
        <v>0.15</v>
      </c>
      <c r="G480" s="2" t="n">
        <f aca="false">ROUND(E480*F480,2)</f>
        <v>423.45</v>
      </c>
      <c r="H480" s="2" t="n">
        <f aca="false">E480+G480</f>
        <v>3246.45</v>
      </c>
      <c r="I480" s="3" t="s">
        <v>22</v>
      </c>
      <c r="J480" s="0" t="str">
        <f aca="false">_xlfn.XLOOKUP(C480,Departments!$A$2:$A$6,Departments!$B$2:$B$6,"Unknown")</f>
        <v>Technology</v>
      </c>
    </row>
    <row r="481" customFormat="false" ht="15" hidden="false" customHeight="false" outlineLevel="0" collapsed="false">
      <c r="A481" s="0" t="s">
        <v>508</v>
      </c>
      <c r="B481" s="4" t="n">
        <v>45773</v>
      </c>
      <c r="C481" s="0" t="s">
        <v>32</v>
      </c>
      <c r="D481" s="3" t="s">
        <v>28</v>
      </c>
      <c r="E481" s="2" t="n">
        <v>2860</v>
      </c>
      <c r="F481" s="5" t="n">
        <f aca="false">VLOOKUP(D481,Lookup!$A$2:$B$4,2,FALSE())</f>
        <v>0.05</v>
      </c>
      <c r="G481" s="2" t="n">
        <f aca="false">ROUND(E481*F481,2)</f>
        <v>143</v>
      </c>
      <c r="H481" s="2" t="n">
        <f aca="false">E481+G481</f>
        <v>3003</v>
      </c>
      <c r="I481" s="3" t="s">
        <v>22</v>
      </c>
      <c r="J481" s="0" t="str">
        <f aca="false">_xlfn.XLOOKUP(C481,Departments!$A$2:$A$6,Departments!$B$2:$B$6,"Unknown")</f>
        <v>Operations</v>
      </c>
    </row>
    <row r="482" customFormat="false" ht="15" hidden="false" customHeight="false" outlineLevel="0" collapsed="false">
      <c r="A482" s="0" t="s">
        <v>509</v>
      </c>
      <c r="B482" s="4" t="n">
        <v>45774</v>
      </c>
      <c r="C482" s="0" t="s">
        <v>20</v>
      </c>
      <c r="D482" s="3" t="s">
        <v>21</v>
      </c>
      <c r="E482" s="2" t="n">
        <v>2897</v>
      </c>
      <c r="F482" s="5" t="n">
        <f aca="false">VLOOKUP(D482,Lookup!$A$2:$B$4,2,FALSE())</f>
        <v>0.1</v>
      </c>
      <c r="G482" s="2" t="n">
        <f aca="false">ROUND(E482*F482,2)</f>
        <v>289.7</v>
      </c>
      <c r="H482" s="2" t="n">
        <f aca="false">E482+G482</f>
        <v>3186.7</v>
      </c>
      <c r="I482" s="3" t="s">
        <v>22</v>
      </c>
      <c r="J482" s="0" t="str">
        <f aca="false">_xlfn.XLOOKUP(C482,Departments!$A$2:$A$6,Departments!$B$2:$B$6,"Unknown")</f>
        <v>Finance</v>
      </c>
    </row>
    <row r="483" customFormat="false" ht="15" hidden="false" customHeight="false" outlineLevel="0" collapsed="false">
      <c r="A483" s="0" t="s">
        <v>510</v>
      </c>
      <c r="B483" s="4" t="n">
        <v>45775</v>
      </c>
      <c r="C483" s="0" t="s">
        <v>24</v>
      </c>
      <c r="D483" s="3" t="s">
        <v>25</v>
      </c>
      <c r="E483" s="2" t="n">
        <v>2934</v>
      </c>
      <c r="F483" s="5" t="n">
        <f aca="false">VLOOKUP(D483,Lookup!$A$2:$B$4,2,FALSE())</f>
        <v>0.15</v>
      </c>
      <c r="G483" s="2" t="n">
        <f aca="false">ROUND(E483*F483,2)</f>
        <v>440.1</v>
      </c>
      <c r="H483" s="2" t="n">
        <f aca="false">E483+G483</f>
        <v>3374.1</v>
      </c>
      <c r="I483" s="3" t="s">
        <v>22</v>
      </c>
      <c r="J483" s="0" t="str">
        <f aca="false">_xlfn.XLOOKUP(C483,Departments!$A$2:$A$6,Departments!$B$2:$B$6,"Unknown")</f>
        <v>Quality</v>
      </c>
    </row>
    <row r="484" customFormat="false" ht="15" hidden="false" customHeight="false" outlineLevel="0" collapsed="false">
      <c r="A484" s="0" t="s">
        <v>511</v>
      </c>
      <c r="B484" s="4" t="n">
        <v>45776</v>
      </c>
      <c r="C484" s="0" t="s">
        <v>27</v>
      </c>
      <c r="D484" s="3" t="s">
        <v>28</v>
      </c>
      <c r="E484" s="2" t="n">
        <v>2971</v>
      </c>
      <c r="F484" s="5" t="n">
        <f aca="false">VLOOKUP(D484,Lookup!$A$2:$B$4,2,FALSE())</f>
        <v>0.05</v>
      </c>
      <c r="G484" s="2" t="n">
        <f aca="false">ROUND(E484*F484,2)</f>
        <v>148.55</v>
      </c>
      <c r="H484" s="2" t="n">
        <f aca="false">E484+G484</f>
        <v>3119.55</v>
      </c>
      <c r="I484" s="3" t="s">
        <v>35</v>
      </c>
      <c r="J484" s="0" t="str">
        <f aca="false">_xlfn.XLOOKUP(C484,Departments!$A$2:$A$6,Departments!$B$2:$B$6,"Unknown")</f>
        <v>Human Resources</v>
      </c>
    </row>
    <row r="485" customFormat="false" ht="15" hidden="false" customHeight="false" outlineLevel="0" collapsed="false">
      <c r="A485" s="0" t="s">
        <v>512</v>
      </c>
      <c r="B485" s="4" t="n">
        <v>45777</v>
      </c>
      <c r="C485" s="0" t="s">
        <v>30</v>
      </c>
      <c r="D485" s="3" t="s">
        <v>21</v>
      </c>
      <c r="E485" s="2" t="n">
        <v>3008</v>
      </c>
      <c r="F485" s="5" t="n">
        <f aca="false">VLOOKUP(D485,Lookup!$A$2:$B$4,2,FALSE())</f>
        <v>0.1</v>
      </c>
      <c r="G485" s="2" t="n">
        <f aca="false">ROUND(E485*F485,2)</f>
        <v>300.8</v>
      </c>
      <c r="H485" s="2" t="n">
        <f aca="false">E485+G485</f>
        <v>3308.8</v>
      </c>
      <c r="I485" s="3" t="s">
        <v>22</v>
      </c>
      <c r="J485" s="0" t="str">
        <f aca="false">_xlfn.XLOOKUP(C485,Departments!$A$2:$A$6,Departments!$B$2:$B$6,"Unknown")</f>
        <v>Technology</v>
      </c>
    </row>
    <row r="486" customFormat="false" ht="15" hidden="false" customHeight="false" outlineLevel="0" collapsed="false">
      <c r="A486" s="0" t="s">
        <v>513</v>
      </c>
      <c r="B486" s="4" t="n">
        <v>45778</v>
      </c>
      <c r="C486" s="0" t="s">
        <v>32</v>
      </c>
      <c r="D486" s="3" t="s">
        <v>25</v>
      </c>
      <c r="E486" s="2" t="n">
        <v>3045</v>
      </c>
      <c r="F486" s="5" t="n">
        <f aca="false">VLOOKUP(D486,Lookup!$A$2:$B$4,2,FALSE())</f>
        <v>0.15</v>
      </c>
      <c r="G486" s="2" t="n">
        <f aca="false">ROUND(E486*F486,2)</f>
        <v>456.75</v>
      </c>
      <c r="H486" s="2" t="n">
        <f aca="false">E486+G486</f>
        <v>3501.75</v>
      </c>
      <c r="I486" s="3" t="s">
        <v>22</v>
      </c>
      <c r="J486" s="0" t="str">
        <f aca="false">_xlfn.XLOOKUP(C486,Departments!$A$2:$A$6,Departments!$B$2:$B$6,"Unknown")</f>
        <v>Operations</v>
      </c>
    </row>
    <row r="487" customFormat="false" ht="15" hidden="false" customHeight="false" outlineLevel="0" collapsed="false">
      <c r="A487" s="0" t="s">
        <v>514</v>
      </c>
      <c r="B487" s="4" t="n">
        <v>45779</v>
      </c>
      <c r="C487" s="0" t="s">
        <v>20</v>
      </c>
      <c r="D487" s="3" t="s">
        <v>28</v>
      </c>
      <c r="E487" s="2" t="n">
        <v>3082</v>
      </c>
      <c r="F487" s="5" t="n">
        <f aca="false">VLOOKUP(D487,Lookup!$A$2:$B$4,2,FALSE())</f>
        <v>0.05</v>
      </c>
      <c r="G487" s="2" t="n">
        <f aca="false">ROUND(E487*F487,2)</f>
        <v>154.1</v>
      </c>
      <c r="H487" s="2" t="n">
        <f aca="false">E487+G487</f>
        <v>3236.1</v>
      </c>
      <c r="I487" s="3" t="s">
        <v>22</v>
      </c>
      <c r="J487" s="0" t="str">
        <f aca="false">_xlfn.XLOOKUP(C487,Departments!$A$2:$A$6,Departments!$B$2:$B$6,"Unknown")</f>
        <v>Finance</v>
      </c>
    </row>
    <row r="488" customFormat="false" ht="15" hidden="false" customHeight="false" outlineLevel="0" collapsed="false">
      <c r="A488" s="0" t="s">
        <v>515</v>
      </c>
      <c r="B488" s="4" t="n">
        <v>45780</v>
      </c>
      <c r="C488" s="0" t="s">
        <v>24</v>
      </c>
      <c r="D488" s="3" t="s">
        <v>21</v>
      </c>
      <c r="E488" s="2" t="n">
        <v>3119</v>
      </c>
      <c r="F488" s="5" t="n">
        <f aca="false">VLOOKUP(D488,Lookup!$A$2:$B$4,2,FALSE())</f>
        <v>0.1</v>
      </c>
      <c r="G488" s="2" t="n">
        <f aca="false">ROUND(E488*F488,2)</f>
        <v>311.9</v>
      </c>
      <c r="H488" s="2" t="n">
        <f aca="false">E488+G488</f>
        <v>3430.9</v>
      </c>
      <c r="I488" s="3" t="s">
        <v>22</v>
      </c>
      <c r="J488" s="0" t="str">
        <f aca="false">_xlfn.XLOOKUP(C488,Departments!$A$2:$A$6,Departments!$B$2:$B$6,"Unknown")</f>
        <v>Quality</v>
      </c>
    </row>
    <row r="489" customFormat="false" ht="15" hidden="false" customHeight="false" outlineLevel="0" collapsed="false">
      <c r="A489" s="0" t="s">
        <v>516</v>
      </c>
      <c r="B489" s="4" t="n">
        <v>45781</v>
      </c>
      <c r="C489" s="0" t="s">
        <v>27</v>
      </c>
      <c r="D489" s="3" t="s">
        <v>25</v>
      </c>
      <c r="E489" s="2" t="n">
        <v>3156</v>
      </c>
      <c r="F489" s="5" t="n">
        <f aca="false">VLOOKUP(D489,Lookup!$A$2:$B$4,2,FALSE())</f>
        <v>0.15</v>
      </c>
      <c r="G489" s="2" t="n">
        <f aca="false">ROUND(E489*F489,2)</f>
        <v>473.4</v>
      </c>
      <c r="H489" s="2" t="n">
        <f aca="false">E489+G489</f>
        <v>3629.4</v>
      </c>
      <c r="I489" s="3" t="s">
        <v>22</v>
      </c>
      <c r="J489" s="0" t="str">
        <f aca="false">_xlfn.XLOOKUP(C489,Departments!$A$2:$A$6,Departments!$B$2:$B$6,"Unknown")</f>
        <v>Human Resources</v>
      </c>
    </row>
    <row r="490" customFormat="false" ht="15" hidden="false" customHeight="false" outlineLevel="0" collapsed="false">
      <c r="A490" s="0" t="s">
        <v>517</v>
      </c>
      <c r="B490" s="4" t="n">
        <v>45782</v>
      </c>
      <c r="C490" s="0" t="s">
        <v>30</v>
      </c>
      <c r="D490" s="3" t="s">
        <v>28</v>
      </c>
      <c r="E490" s="2" t="n">
        <v>3193</v>
      </c>
      <c r="F490" s="5" t="n">
        <f aca="false">VLOOKUP(D490,Lookup!$A$2:$B$4,2,FALSE())</f>
        <v>0.05</v>
      </c>
      <c r="G490" s="2" t="n">
        <f aca="false">ROUND(E490*F490,2)</f>
        <v>159.65</v>
      </c>
      <c r="H490" s="2" t="n">
        <f aca="false">E490+G490</f>
        <v>3352.65</v>
      </c>
      <c r="I490" s="3" t="s">
        <v>22</v>
      </c>
      <c r="J490" s="0" t="str">
        <f aca="false">_xlfn.XLOOKUP(C490,Departments!$A$2:$A$6,Departments!$B$2:$B$6,"Unknown")</f>
        <v>Technology</v>
      </c>
    </row>
    <row r="491" customFormat="false" ht="15" hidden="false" customHeight="false" outlineLevel="0" collapsed="false">
      <c r="A491" s="0" t="s">
        <v>518</v>
      </c>
      <c r="B491" s="4" t="n">
        <v>45783</v>
      </c>
      <c r="C491" s="0" t="s">
        <v>32</v>
      </c>
      <c r="D491" s="3" t="s">
        <v>21</v>
      </c>
      <c r="E491" s="2" t="n">
        <v>3230</v>
      </c>
      <c r="F491" s="5" t="n">
        <f aca="false">VLOOKUP(D491,Lookup!$A$2:$B$4,2,FALSE())</f>
        <v>0.1</v>
      </c>
      <c r="G491" s="2" t="n">
        <f aca="false">ROUND(E491*F491,2)</f>
        <v>323</v>
      </c>
      <c r="H491" s="2" t="n">
        <f aca="false">E491+G491</f>
        <v>3553</v>
      </c>
      <c r="I491" s="3" t="s">
        <v>35</v>
      </c>
      <c r="J491" s="0" t="str">
        <f aca="false">_xlfn.XLOOKUP(C491,Departments!$A$2:$A$6,Departments!$B$2:$B$6,"Unknown")</f>
        <v>Operations</v>
      </c>
    </row>
    <row r="492" customFormat="false" ht="15" hidden="false" customHeight="false" outlineLevel="0" collapsed="false">
      <c r="A492" s="0" t="s">
        <v>519</v>
      </c>
      <c r="B492" s="4" t="n">
        <v>45784</v>
      </c>
      <c r="C492" s="0" t="s">
        <v>20</v>
      </c>
      <c r="D492" s="3" t="s">
        <v>25</v>
      </c>
      <c r="E492" s="2" t="n">
        <v>3267</v>
      </c>
      <c r="F492" s="5" t="n">
        <f aca="false">VLOOKUP(D492,Lookup!$A$2:$B$4,2,FALSE())</f>
        <v>0.15</v>
      </c>
      <c r="G492" s="2" t="n">
        <f aca="false">ROUND(E492*F492,2)</f>
        <v>490.05</v>
      </c>
      <c r="H492" s="2" t="n">
        <f aca="false">E492+G492</f>
        <v>3757.05</v>
      </c>
      <c r="I492" s="3" t="s">
        <v>22</v>
      </c>
      <c r="J492" s="0" t="str">
        <f aca="false">_xlfn.XLOOKUP(C492,Departments!$A$2:$A$6,Departments!$B$2:$B$6,"Unknown")</f>
        <v>Finance</v>
      </c>
    </row>
    <row r="493" customFormat="false" ht="15" hidden="false" customHeight="false" outlineLevel="0" collapsed="false">
      <c r="A493" s="0" t="s">
        <v>520</v>
      </c>
      <c r="B493" s="4" t="n">
        <v>45785</v>
      </c>
      <c r="C493" s="0" t="s">
        <v>24</v>
      </c>
      <c r="D493" s="3" t="s">
        <v>28</v>
      </c>
      <c r="E493" s="2" t="n">
        <v>3304</v>
      </c>
      <c r="F493" s="5" t="n">
        <f aca="false">VLOOKUP(D493,Lookup!$A$2:$B$4,2,FALSE())</f>
        <v>0.05</v>
      </c>
      <c r="G493" s="2" t="n">
        <f aca="false">ROUND(E493*F493,2)</f>
        <v>165.2</v>
      </c>
      <c r="H493" s="2" t="n">
        <f aca="false">E493+G493</f>
        <v>3469.2</v>
      </c>
      <c r="I493" s="3" t="s">
        <v>22</v>
      </c>
      <c r="J493" s="0" t="str">
        <f aca="false">_xlfn.XLOOKUP(C493,Departments!$A$2:$A$6,Departments!$B$2:$B$6,"Unknown")</f>
        <v>Quality</v>
      </c>
    </row>
    <row r="494" customFormat="false" ht="15" hidden="false" customHeight="false" outlineLevel="0" collapsed="false">
      <c r="A494" s="0" t="s">
        <v>521</v>
      </c>
      <c r="B494" s="4" t="n">
        <v>45786</v>
      </c>
      <c r="C494" s="0" t="s">
        <v>27</v>
      </c>
      <c r="D494" s="3" t="s">
        <v>21</v>
      </c>
      <c r="E494" s="2" t="n">
        <v>3341</v>
      </c>
      <c r="F494" s="5" t="n">
        <f aca="false">VLOOKUP(D494,Lookup!$A$2:$B$4,2,FALSE())</f>
        <v>0.1</v>
      </c>
      <c r="G494" s="2" t="n">
        <f aca="false">ROUND(E494*F494,2)</f>
        <v>334.1</v>
      </c>
      <c r="H494" s="2" t="n">
        <f aca="false">E494+G494</f>
        <v>3675.1</v>
      </c>
      <c r="I494" s="3" t="s">
        <v>22</v>
      </c>
      <c r="J494" s="0" t="str">
        <f aca="false">_xlfn.XLOOKUP(C494,Departments!$A$2:$A$6,Departments!$B$2:$B$6,"Unknown")</f>
        <v>Human Resources</v>
      </c>
    </row>
    <row r="495" customFormat="false" ht="15" hidden="false" customHeight="false" outlineLevel="0" collapsed="false">
      <c r="A495" s="0" t="s">
        <v>522</v>
      </c>
      <c r="B495" s="4" t="n">
        <v>45787</v>
      </c>
      <c r="C495" s="0" t="s">
        <v>30</v>
      </c>
      <c r="D495" s="3" t="s">
        <v>25</v>
      </c>
      <c r="E495" s="2" t="n">
        <v>3378</v>
      </c>
      <c r="F495" s="5" t="n">
        <f aca="false">VLOOKUP(D495,Lookup!$A$2:$B$4,2,FALSE())</f>
        <v>0.15</v>
      </c>
      <c r="G495" s="2" t="n">
        <f aca="false">ROUND(E495*F495,2)</f>
        <v>506.7</v>
      </c>
      <c r="H495" s="2" t="n">
        <f aca="false">E495+G495</f>
        <v>3884.7</v>
      </c>
      <c r="I495" s="3" t="s">
        <v>22</v>
      </c>
      <c r="J495" s="0" t="str">
        <f aca="false">_xlfn.XLOOKUP(C495,Departments!$A$2:$A$6,Departments!$B$2:$B$6,"Unknown")</f>
        <v>Technology</v>
      </c>
    </row>
    <row r="496" customFormat="false" ht="15" hidden="false" customHeight="false" outlineLevel="0" collapsed="false">
      <c r="A496" s="0" t="s">
        <v>523</v>
      </c>
      <c r="B496" s="4" t="n">
        <v>45788</v>
      </c>
      <c r="C496" s="0" t="s">
        <v>32</v>
      </c>
      <c r="D496" s="3" t="s">
        <v>28</v>
      </c>
      <c r="E496" s="2" t="n">
        <v>3415</v>
      </c>
      <c r="F496" s="5" t="n">
        <f aca="false">VLOOKUP(D496,Lookup!$A$2:$B$4,2,FALSE())</f>
        <v>0.05</v>
      </c>
      <c r="G496" s="2" t="n">
        <f aca="false">ROUND(E496*F496,2)</f>
        <v>170.75</v>
      </c>
      <c r="H496" s="2" t="n">
        <f aca="false">E496+G496</f>
        <v>3585.75</v>
      </c>
      <c r="I496" s="3" t="s">
        <v>22</v>
      </c>
      <c r="J496" s="0" t="str">
        <f aca="false">_xlfn.XLOOKUP(C496,Departments!$A$2:$A$6,Departments!$B$2:$B$6,"Unknown")</f>
        <v>Operations</v>
      </c>
    </row>
    <row r="497" customFormat="false" ht="15" hidden="false" customHeight="false" outlineLevel="0" collapsed="false">
      <c r="A497" s="0" t="s">
        <v>524</v>
      </c>
      <c r="B497" s="4" t="n">
        <v>45789</v>
      </c>
      <c r="C497" s="0" t="s">
        <v>20</v>
      </c>
      <c r="D497" s="3" t="s">
        <v>21</v>
      </c>
      <c r="E497" s="2" t="n">
        <v>3452</v>
      </c>
      <c r="F497" s="5" t="n">
        <f aca="false">VLOOKUP(D497,Lookup!$A$2:$B$4,2,FALSE())</f>
        <v>0.1</v>
      </c>
      <c r="G497" s="2" t="n">
        <f aca="false">ROUND(E497*F497,2)</f>
        <v>345.2</v>
      </c>
      <c r="H497" s="2" t="n">
        <f aca="false">E497+G497</f>
        <v>3797.2</v>
      </c>
      <c r="I497" s="3" t="s">
        <v>22</v>
      </c>
      <c r="J497" s="0" t="str">
        <f aca="false">_xlfn.XLOOKUP(C497,Departments!$A$2:$A$6,Departments!$B$2:$B$6,"Unknown")</f>
        <v>Finance</v>
      </c>
    </row>
    <row r="498" customFormat="false" ht="15" hidden="false" customHeight="false" outlineLevel="0" collapsed="false">
      <c r="A498" s="0" t="s">
        <v>525</v>
      </c>
      <c r="B498" s="4" t="n">
        <v>45790</v>
      </c>
      <c r="C498" s="0" t="s">
        <v>24</v>
      </c>
      <c r="D498" s="3" t="s">
        <v>25</v>
      </c>
      <c r="E498" s="2" t="n">
        <v>3489</v>
      </c>
      <c r="F498" s="5" t="n">
        <f aca="false">VLOOKUP(D498,Lookup!$A$2:$B$4,2,FALSE())</f>
        <v>0.15</v>
      </c>
      <c r="G498" s="2" t="n">
        <f aca="false">ROUND(E498*F498,2)</f>
        <v>523.35</v>
      </c>
      <c r="H498" s="2" t="n">
        <f aca="false">E498+G498</f>
        <v>4012.35</v>
      </c>
      <c r="I498" s="3" t="s">
        <v>35</v>
      </c>
      <c r="J498" s="0" t="str">
        <f aca="false">_xlfn.XLOOKUP(C498,Departments!$A$2:$A$6,Departments!$B$2:$B$6,"Unknown")</f>
        <v>Quality</v>
      </c>
    </row>
    <row r="499" customFormat="false" ht="15" hidden="false" customHeight="false" outlineLevel="0" collapsed="false">
      <c r="A499" s="0" t="s">
        <v>526</v>
      </c>
      <c r="B499" s="4" t="n">
        <v>45791</v>
      </c>
      <c r="C499" s="0" t="s">
        <v>27</v>
      </c>
      <c r="D499" s="3" t="s">
        <v>28</v>
      </c>
      <c r="E499" s="2" t="n">
        <v>3526</v>
      </c>
      <c r="F499" s="5" t="n">
        <f aca="false">VLOOKUP(D499,Lookup!$A$2:$B$4,2,FALSE())</f>
        <v>0.05</v>
      </c>
      <c r="G499" s="2" t="n">
        <f aca="false">ROUND(E499*F499,2)</f>
        <v>176.3</v>
      </c>
      <c r="H499" s="2" t="n">
        <f aca="false">E499+G499</f>
        <v>3702.3</v>
      </c>
      <c r="I499" s="3" t="s">
        <v>22</v>
      </c>
      <c r="J499" s="0" t="str">
        <f aca="false">_xlfn.XLOOKUP(C499,Departments!$A$2:$A$6,Departments!$B$2:$B$6,"Unknown")</f>
        <v>Human Resources</v>
      </c>
    </row>
    <row r="500" customFormat="false" ht="15" hidden="false" customHeight="false" outlineLevel="0" collapsed="false">
      <c r="A500" s="0" t="s">
        <v>527</v>
      </c>
      <c r="B500" s="4" t="n">
        <v>45792</v>
      </c>
      <c r="C500" s="0" t="s">
        <v>30</v>
      </c>
      <c r="D500" s="3" t="s">
        <v>21</v>
      </c>
      <c r="E500" s="2" t="n">
        <v>3563</v>
      </c>
      <c r="F500" s="5" t="n">
        <f aca="false">VLOOKUP(D500,Lookup!$A$2:$B$4,2,FALSE())</f>
        <v>0.1</v>
      </c>
      <c r="G500" s="2" t="n">
        <f aca="false">ROUND(E500*F500,2)</f>
        <v>356.3</v>
      </c>
      <c r="H500" s="2" t="n">
        <f aca="false">E500+G500</f>
        <v>3919.3</v>
      </c>
      <c r="I500" s="3" t="s">
        <v>22</v>
      </c>
      <c r="J500" s="0" t="str">
        <f aca="false">_xlfn.XLOOKUP(C500,Departments!$A$2:$A$6,Departments!$B$2:$B$6,"Unknown")</f>
        <v>Technology</v>
      </c>
    </row>
    <row r="501" customFormat="false" ht="15" hidden="false" customHeight="false" outlineLevel="0" collapsed="false">
      <c r="A501" s="0" t="s">
        <v>528</v>
      </c>
      <c r="B501" s="4" t="n">
        <v>45793</v>
      </c>
      <c r="C501" s="0" t="s">
        <v>32</v>
      </c>
      <c r="D501" s="3" t="s">
        <v>25</v>
      </c>
      <c r="E501" s="2" t="n">
        <v>3600</v>
      </c>
      <c r="F501" s="5" t="n">
        <f aca="false">VLOOKUP(D501,Lookup!$A$2:$B$4,2,FALSE())</f>
        <v>0.15</v>
      </c>
      <c r="G501" s="2" t="n">
        <f aca="false">ROUND(E501*F501,2)</f>
        <v>540</v>
      </c>
      <c r="H501" s="2" t="n">
        <f aca="false">E501+G501</f>
        <v>4140</v>
      </c>
      <c r="I501" s="3" t="s">
        <v>22</v>
      </c>
      <c r="J501" s="0" t="str">
        <f aca="false">_xlfn.XLOOKUP(C501,Departments!$A$2:$A$6,Departments!$B$2:$B$6,"Unknown")</f>
        <v>Operations</v>
      </c>
    </row>
    <row r="502" customFormat="false" ht="15" hidden="false" customHeight="false" outlineLevel="0" collapsed="false">
      <c r="A502" s="0" t="s">
        <v>529</v>
      </c>
      <c r="B502" s="4" t="n">
        <v>45794</v>
      </c>
      <c r="C502" s="0" t="s">
        <v>20</v>
      </c>
      <c r="D502" s="3" t="s">
        <v>28</v>
      </c>
      <c r="E502" s="2" t="n">
        <v>3637</v>
      </c>
      <c r="F502" s="5" t="n">
        <f aca="false">VLOOKUP(D502,Lookup!$A$2:$B$4,2,FALSE())</f>
        <v>0.05</v>
      </c>
      <c r="G502" s="2" t="n">
        <f aca="false">ROUND(E502*F502,2)</f>
        <v>181.85</v>
      </c>
      <c r="H502" s="2" t="n">
        <f aca="false">E502+G502</f>
        <v>3818.85</v>
      </c>
      <c r="I502" s="3" t="s">
        <v>22</v>
      </c>
      <c r="J502" s="0" t="str">
        <f aca="false">_xlfn.XLOOKUP(C502,Departments!$A$2:$A$6,Departments!$B$2:$B$6,"Unknown")</f>
        <v>Finance</v>
      </c>
    </row>
    <row r="503" customFormat="false" ht="15" hidden="false" customHeight="false" outlineLevel="0" collapsed="false">
      <c r="A503" s="0" t="s">
        <v>530</v>
      </c>
      <c r="B503" s="4" t="n">
        <v>45795</v>
      </c>
      <c r="C503" s="0" t="s">
        <v>24</v>
      </c>
      <c r="D503" s="3" t="s">
        <v>21</v>
      </c>
      <c r="E503" s="2" t="n">
        <v>3674</v>
      </c>
      <c r="F503" s="5" t="n">
        <f aca="false">VLOOKUP(D503,Lookup!$A$2:$B$4,2,FALSE())</f>
        <v>0.1</v>
      </c>
      <c r="G503" s="2" t="n">
        <f aca="false">ROUND(E503*F503,2)</f>
        <v>367.4</v>
      </c>
      <c r="H503" s="2" t="n">
        <f aca="false">E503+G503</f>
        <v>4041.4</v>
      </c>
      <c r="I503" s="3" t="s">
        <v>22</v>
      </c>
      <c r="J503" s="0" t="str">
        <f aca="false">_xlfn.XLOOKUP(C503,Departments!$A$2:$A$6,Departments!$B$2:$B$6,"Unknown")</f>
        <v>Quality</v>
      </c>
    </row>
    <row r="504" customFormat="false" ht="15" hidden="false" customHeight="false" outlineLevel="0" collapsed="false">
      <c r="A504" s="0" t="s">
        <v>531</v>
      </c>
      <c r="B504" s="4" t="n">
        <v>45796</v>
      </c>
      <c r="C504" s="0" t="s">
        <v>27</v>
      </c>
      <c r="D504" s="3" t="s">
        <v>25</v>
      </c>
      <c r="E504" s="2" t="n">
        <v>3711</v>
      </c>
      <c r="F504" s="5" t="n">
        <f aca="false">VLOOKUP(D504,Lookup!$A$2:$B$4,2,FALSE())</f>
        <v>0.15</v>
      </c>
      <c r="G504" s="2" t="n">
        <f aca="false">ROUND(E504*F504,2)</f>
        <v>556.65</v>
      </c>
      <c r="H504" s="2" t="n">
        <f aca="false">E504+G504</f>
        <v>4267.65</v>
      </c>
      <c r="I504" s="3" t="s">
        <v>22</v>
      </c>
      <c r="J504" s="0" t="str">
        <f aca="false">_xlfn.XLOOKUP(C504,Departments!$A$2:$A$6,Departments!$B$2:$B$6,"Unknown")</f>
        <v>Human Resources</v>
      </c>
    </row>
    <row r="505" customFormat="false" ht="15" hidden="false" customHeight="false" outlineLevel="0" collapsed="false">
      <c r="A505" s="0" t="s">
        <v>532</v>
      </c>
      <c r="B505" s="4" t="n">
        <v>45797</v>
      </c>
      <c r="C505" s="0" t="s">
        <v>30</v>
      </c>
      <c r="D505" s="3" t="s">
        <v>28</v>
      </c>
      <c r="E505" s="2" t="n">
        <v>3748</v>
      </c>
      <c r="F505" s="5" t="n">
        <f aca="false">VLOOKUP(D505,Lookup!$A$2:$B$4,2,FALSE())</f>
        <v>0.05</v>
      </c>
      <c r="G505" s="2" t="n">
        <f aca="false">ROUND(E505*F505,2)</f>
        <v>187.4</v>
      </c>
      <c r="H505" s="2" t="n">
        <f aca="false">E505+G505</f>
        <v>3935.4</v>
      </c>
      <c r="I505" s="3" t="s">
        <v>35</v>
      </c>
      <c r="J505" s="0" t="str">
        <f aca="false">_xlfn.XLOOKUP(C505,Departments!$A$2:$A$6,Departments!$B$2:$B$6,"Unknown")</f>
        <v>Technology</v>
      </c>
    </row>
    <row r="506" customFormat="false" ht="15" hidden="false" customHeight="false" outlineLevel="0" collapsed="false">
      <c r="A506" s="0" t="s">
        <v>533</v>
      </c>
      <c r="B506" s="4" t="n">
        <v>45798</v>
      </c>
      <c r="C506" s="0" t="s">
        <v>32</v>
      </c>
      <c r="D506" s="3" t="s">
        <v>21</v>
      </c>
      <c r="E506" s="2" t="n">
        <v>3785</v>
      </c>
      <c r="F506" s="5" t="n">
        <f aca="false">VLOOKUP(D506,Lookup!$A$2:$B$4,2,FALSE())</f>
        <v>0.1</v>
      </c>
      <c r="G506" s="2" t="n">
        <f aca="false">ROUND(E506*F506,2)</f>
        <v>378.5</v>
      </c>
      <c r="H506" s="2" t="n">
        <f aca="false">E506+G506</f>
        <v>4163.5</v>
      </c>
      <c r="I506" s="3" t="s">
        <v>22</v>
      </c>
      <c r="J506" s="0" t="str">
        <f aca="false">_xlfn.XLOOKUP(C506,Departments!$A$2:$A$6,Departments!$B$2:$B$6,"Unknown")</f>
        <v>Operations</v>
      </c>
    </row>
    <row r="507" customFormat="false" ht="15" hidden="false" customHeight="false" outlineLevel="0" collapsed="false">
      <c r="A507" s="0" t="s">
        <v>534</v>
      </c>
      <c r="B507" s="4" t="n">
        <v>45799</v>
      </c>
      <c r="C507" s="0" t="s">
        <v>20</v>
      </c>
      <c r="D507" s="3" t="s">
        <v>25</v>
      </c>
      <c r="E507" s="2" t="n">
        <v>3822</v>
      </c>
      <c r="F507" s="5" t="n">
        <f aca="false">VLOOKUP(D507,Lookup!$A$2:$B$4,2,FALSE())</f>
        <v>0.15</v>
      </c>
      <c r="G507" s="2" t="n">
        <f aca="false">ROUND(E507*F507,2)</f>
        <v>573.3</v>
      </c>
      <c r="H507" s="2" t="n">
        <f aca="false">E507+G507</f>
        <v>4395.3</v>
      </c>
      <c r="I507" s="3" t="s">
        <v>22</v>
      </c>
      <c r="J507" s="0" t="str">
        <f aca="false">_xlfn.XLOOKUP(C507,Departments!$A$2:$A$6,Departments!$B$2:$B$6,"Unknown")</f>
        <v>Finance</v>
      </c>
    </row>
    <row r="508" customFormat="false" ht="15" hidden="false" customHeight="false" outlineLevel="0" collapsed="false">
      <c r="A508" s="0" t="s">
        <v>535</v>
      </c>
      <c r="B508" s="4" t="n">
        <v>45800</v>
      </c>
      <c r="C508" s="0" t="s">
        <v>24</v>
      </c>
      <c r="D508" s="3" t="s">
        <v>28</v>
      </c>
      <c r="E508" s="2" t="n">
        <v>3859</v>
      </c>
      <c r="F508" s="5" t="n">
        <f aca="false">VLOOKUP(D508,Lookup!$A$2:$B$4,2,FALSE())</f>
        <v>0.05</v>
      </c>
      <c r="G508" s="2" t="n">
        <f aca="false">ROUND(E508*F508,2)</f>
        <v>192.95</v>
      </c>
      <c r="H508" s="2" t="n">
        <f aca="false">E508+G508</f>
        <v>4051.95</v>
      </c>
      <c r="I508" s="3" t="s">
        <v>22</v>
      </c>
      <c r="J508" s="0" t="str">
        <f aca="false">_xlfn.XLOOKUP(C508,Departments!$A$2:$A$6,Departments!$B$2:$B$6,"Unknown")</f>
        <v>Quality</v>
      </c>
    </row>
    <row r="509" customFormat="false" ht="15" hidden="false" customHeight="false" outlineLevel="0" collapsed="false">
      <c r="A509" s="0" t="s">
        <v>536</v>
      </c>
      <c r="B509" s="4" t="n">
        <v>45801</v>
      </c>
      <c r="C509" s="0" t="s">
        <v>27</v>
      </c>
      <c r="D509" s="3" t="s">
        <v>21</v>
      </c>
      <c r="E509" s="2" t="n">
        <v>3896</v>
      </c>
      <c r="F509" s="5" t="n">
        <f aca="false">VLOOKUP(D509,Lookup!$A$2:$B$4,2,FALSE())</f>
        <v>0.1</v>
      </c>
      <c r="G509" s="2" t="n">
        <f aca="false">ROUND(E509*F509,2)</f>
        <v>389.6</v>
      </c>
      <c r="H509" s="2" t="n">
        <f aca="false">E509+G509</f>
        <v>4285.6</v>
      </c>
      <c r="I509" s="3" t="s">
        <v>22</v>
      </c>
      <c r="J509" s="0" t="str">
        <f aca="false">_xlfn.XLOOKUP(C509,Departments!$A$2:$A$6,Departments!$B$2:$B$6,"Unknown")</f>
        <v>Human Resources</v>
      </c>
    </row>
    <row r="510" customFormat="false" ht="15" hidden="false" customHeight="false" outlineLevel="0" collapsed="false">
      <c r="A510" s="0" t="s">
        <v>537</v>
      </c>
      <c r="B510" s="4" t="n">
        <v>45802</v>
      </c>
      <c r="C510" s="0" t="s">
        <v>30</v>
      </c>
      <c r="D510" s="3" t="s">
        <v>25</v>
      </c>
      <c r="E510" s="2" t="n">
        <v>3933</v>
      </c>
      <c r="F510" s="5" t="n">
        <f aca="false">VLOOKUP(D510,Lookup!$A$2:$B$4,2,FALSE())</f>
        <v>0.15</v>
      </c>
      <c r="G510" s="2" t="n">
        <f aca="false">ROUND(E510*F510,2)</f>
        <v>589.95</v>
      </c>
      <c r="H510" s="2" t="n">
        <f aca="false">E510+G510</f>
        <v>4522.95</v>
      </c>
      <c r="I510" s="3" t="s">
        <v>22</v>
      </c>
      <c r="J510" s="0" t="str">
        <f aca="false">_xlfn.XLOOKUP(C510,Departments!$A$2:$A$6,Departments!$B$2:$B$6,"Unknown")</f>
        <v>Technology</v>
      </c>
    </row>
    <row r="511" customFormat="false" ht="15" hidden="false" customHeight="false" outlineLevel="0" collapsed="false">
      <c r="A511" s="0" t="s">
        <v>538</v>
      </c>
      <c r="B511" s="4" t="n">
        <v>45803</v>
      </c>
      <c r="C511" s="0" t="s">
        <v>32</v>
      </c>
      <c r="D511" s="3" t="s">
        <v>28</v>
      </c>
      <c r="E511" s="2" t="n">
        <v>3970</v>
      </c>
      <c r="F511" s="5" t="n">
        <f aca="false">VLOOKUP(D511,Lookup!$A$2:$B$4,2,FALSE())</f>
        <v>0.05</v>
      </c>
      <c r="G511" s="2" t="n">
        <f aca="false">ROUND(E511*F511,2)</f>
        <v>198.5</v>
      </c>
      <c r="H511" s="2" t="n">
        <f aca="false">E511+G511</f>
        <v>4168.5</v>
      </c>
      <c r="I511" s="3" t="s">
        <v>22</v>
      </c>
      <c r="J511" s="0" t="str">
        <f aca="false">_xlfn.XLOOKUP(C511,Departments!$A$2:$A$6,Departments!$B$2:$B$6,"Unknown")</f>
        <v>Operations</v>
      </c>
    </row>
    <row r="512" customFormat="false" ht="15" hidden="false" customHeight="false" outlineLevel="0" collapsed="false">
      <c r="A512" s="0" t="s">
        <v>539</v>
      </c>
      <c r="B512" s="4" t="n">
        <v>45804</v>
      </c>
      <c r="C512" s="0" t="s">
        <v>20</v>
      </c>
      <c r="D512" s="3" t="s">
        <v>21</v>
      </c>
      <c r="E512" s="2" t="n">
        <v>4007</v>
      </c>
      <c r="F512" s="5" t="n">
        <f aca="false">VLOOKUP(D512,Lookup!$A$2:$B$4,2,FALSE())</f>
        <v>0.1</v>
      </c>
      <c r="G512" s="2" t="n">
        <f aca="false">ROUND(E512*F512,2)</f>
        <v>400.7</v>
      </c>
      <c r="H512" s="2" t="n">
        <f aca="false">E512+G512</f>
        <v>4407.7</v>
      </c>
      <c r="I512" s="3" t="s">
        <v>35</v>
      </c>
      <c r="J512" s="0" t="str">
        <f aca="false">_xlfn.XLOOKUP(C512,Departments!$A$2:$A$6,Departments!$B$2:$B$6,"Unknown")</f>
        <v>Finance</v>
      </c>
    </row>
    <row r="513" customFormat="false" ht="15" hidden="false" customHeight="false" outlineLevel="0" collapsed="false">
      <c r="A513" s="0" t="s">
        <v>540</v>
      </c>
      <c r="B513" s="4" t="n">
        <v>45805</v>
      </c>
      <c r="C513" s="0" t="s">
        <v>24</v>
      </c>
      <c r="D513" s="3" t="s">
        <v>25</v>
      </c>
      <c r="E513" s="2" t="n">
        <v>4044</v>
      </c>
      <c r="F513" s="5" t="n">
        <f aca="false">VLOOKUP(D513,Lookup!$A$2:$B$4,2,FALSE())</f>
        <v>0.15</v>
      </c>
      <c r="G513" s="2" t="n">
        <f aca="false">ROUND(E513*F513,2)</f>
        <v>606.6</v>
      </c>
      <c r="H513" s="2" t="n">
        <f aca="false">E513+G513</f>
        <v>4650.6</v>
      </c>
      <c r="I513" s="3" t="s">
        <v>22</v>
      </c>
      <c r="J513" s="0" t="str">
        <f aca="false">_xlfn.XLOOKUP(C513,Departments!$A$2:$A$6,Departments!$B$2:$B$6,"Unknown")</f>
        <v>Quality</v>
      </c>
    </row>
    <row r="514" customFormat="false" ht="15" hidden="false" customHeight="false" outlineLevel="0" collapsed="false">
      <c r="A514" s="0" t="s">
        <v>541</v>
      </c>
      <c r="B514" s="4" t="n">
        <v>45806</v>
      </c>
      <c r="C514" s="0" t="s">
        <v>27</v>
      </c>
      <c r="D514" s="3" t="s">
        <v>28</v>
      </c>
      <c r="E514" s="2" t="n">
        <v>4081</v>
      </c>
      <c r="F514" s="5" t="n">
        <f aca="false">VLOOKUP(D514,Lookup!$A$2:$B$4,2,FALSE())</f>
        <v>0.05</v>
      </c>
      <c r="G514" s="2" t="n">
        <f aca="false">ROUND(E514*F514,2)</f>
        <v>204.05</v>
      </c>
      <c r="H514" s="2" t="n">
        <f aca="false">E514+G514</f>
        <v>4285.05</v>
      </c>
      <c r="I514" s="3" t="s">
        <v>22</v>
      </c>
      <c r="J514" s="0" t="str">
        <f aca="false">_xlfn.XLOOKUP(C514,Departments!$A$2:$A$6,Departments!$B$2:$B$6,"Unknown")</f>
        <v>Human Resources</v>
      </c>
    </row>
    <row r="515" customFormat="false" ht="15" hidden="false" customHeight="false" outlineLevel="0" collapsed="false">
      <c r="A515" s="0" t="s">
        <v>542</v>
      </c>
      <c r="B515" s="4" t="n">
        <v>45807</v>
      </c>
      <c r="C515" s="0" t="s">
        <v>30</v>
      </c>
      <c r="D515" s="3" t="s">
        <v>21</v>
      </c>
      <c r="E515" s="2" t="n">
        <v>4118</v>
      </c>
      <c r="F515" s="5" t="n">
        <f aca="false">VLOOKUP(D515,Lookup!$A$2:$B$4,2,FALSE())</f>
        <v>0.1</v>
      </c>
      <c r="G515" s="2" t="n">
        <f aca="false">ROUND(E515*F515,2)</f>
        <v>411.8</v>
      </c>
      <c r="H515" s="2" t="n">
        <f aca="false">E515+G515</f>
        <v>4529.8</v>
      </c>
      <c r="I515" s="3" t="s">
        <v>22</v>
      </c>
      <c r="J515" s="0" t="str">
        <f aca="false">_xlfn.XLOOKUP(C515,Departments!$A$2:$A$6,Departments!$B$2:$B$6,"Unknown")</f>
        <v>Technology</v>
      </c>
    </row>
    <row r="516" customFormat="false" ht="15" hidden="false" customHeight="false" outlineLevel="0" collapsed="false">
      <c r="A516" s="0" t="s">
        <v>543</v>
      </c>
      <c r="B516" s="4" t="n">
        <v>45808</v>
      </c>
      <c r="C516" s="0" t="s">
        <v>32</v>
      </c>
      <c r="D516" s="3" t="s">
        <v>25</v>
      </c>
      <c r="E516" s="2" t="n">
        <v>4155</v>
      </c>
      <c r="F516" s="5" t="n">
        <f aca="false">VLOOKUP(D516,Lookup!$A$2:$B$4,2,FALSE())</f>
        <v>0.15</v>
      </c>
      <c r="G516" s="2" t="n">
        <f aca="false">ROUND(E516*F516,2)</f>
        <v>623.25</v>
      </c>
      <c r="H516" s="2" t="n">
        <f aca="false">E516+G516</f>
        <v>4778.25</v>
      </c>
      <c r="I516" s="3" t="s">
        <v>22</v>
      </c>
      <c r="J516" s="0" t="str">
        <f aca="false">_xlfn.XLOOKUP(C516,Departments!$A$2:$A$6,Departments!$B$2:$B$6,"Unknown")</f>
        <v>Operations</v>
      </c>
    </row>
    <row r="517" customFormat="false" ht="15" hidden="false" customHeight="false" outlineLevel="0" collapsed="false">
      <c r="A517" s="0" t="s">
        <v>544</v>
      </c>
      <c r="B517" s="4" t="n">
        <v>45809</v>
      </c>
      <c r="C517" s="0" t="s">
        <v>20</v>
      </c>
      <c r="D517" s="3" t="s">
        <v>28</v>
      </c>
      <c r="E517" s="2" t="n">
        <v>4192</v>
      </c>
      <c r="F517" s="5" t="n">
        <f aca="false">VLOOKUP(D517,Lookup!$A$2:$B$4,2,FALSE())</f>
        <v>0.05</v>
      </c>
      <c r="G517" s="2" t="n">
        <f aca="false">ROUND(E517*F517,2)</f>
        <v>209.6</v>
      </c>
      <c r="H517" s="2" t="n">
        <f aca="false">E517+G517</f>
        <v>4401.6</v>
      </c>
      <c r="I517" s="3" t="s">
        <v>22</v>
      </c>
      <c r="J517" s="0" t="str">
        <f aca="false">_xlfn.XLOOKUP(C517,Departments!$A$2:$A$6,Departments!$B$2:$B$6,"Unknown")</f>
        <v>Finance</v>
      </c>
    </row>
    <row r="518" customFormat="false" ht="15" hidden="false" customHeight="false" outlineLevel="0" collapsed="false">
      <c r="A518" s="0" t="s">
        <v>545</v>
      </c>
      <c r="B518" s="4" t="n">
        <v>45810</v>
      </c>
      <c r="C518" s="0" t="s">
        <v>24</v>
      </c>
      <c r="D518" s="3" t="s">
        <v>21</v>
      </c>
      <c r="E518" s="2" t="n">
        <v>4229</v>
      </c>
      <c r="F518" s="5" t="n">
        <f aca="false">VLOOKUP(D518,Lookup!$A$2:$B$4,2,FALSE())</f>
        <v>0.1</v>
      </c>
      <c r="G518" s="2" t="n">
        <f aca="false">ROUND(E518*F518,2)</f>
        <v>422.9</v>
      </c>
      <c r="H518" s="2" t="n">
        <f aca="false">E518+G518</f>
        <v>4651.9</v>
      </c>
      <c r="I518" s="3" t="s">
        <v>22</v>
      </c>
      <c r="J518" s="0" t="str">
        <f aca="false">_xlfn.XLOOKUP(C518,Departments!$A$2:$A$6,Departments!$B$2:$B$6,"Unknown")</f>
        <v>Quality</v>
      </c>
    </row>
    <row r="519" customFormat="false" ht="15" hidden="false" customHeight="false" outlineLevel="0" collapsed="false">
      <c r="A519" s="0" t="s">
        <v>546</v>
      </c>
      <c r="B519" s="4" t="n">
        <v>45811</v>
      </c>
      <c r="C519" s="0" t="s">
        <v>27</v>
      </c>
      <c r="D519" s="3" t="s">
        <v>25</v>
      </c>
      <c r="E519" s="2" t="n">
        <v>4266</v>
      </c>
      <c r="F519" s="5" t="n">
        <f aca="false">VLOOKUP(D519,Lookup!$A$2:$B$4,2,FALSE())</f>
        <v>0.15</v>
      </c>
      <c r="G519" s="2" t="n">
        <f aca="false">ROUND(E519*F519,2)</f>
        <v>639.9</v>
      </c>
      <c r="H519" s="2" t="n">
        <f aca="false">E519+G519</f>
        <v>4905.9</v>
      </c>
      <c r="I519" s="3" t="s">
        <v>35</v>
      </c>
      <c r="J519" s="0" t="str">
        <f aca="false">_xlfn.XLOOKUP(C519,Departments!$A$2:$A$6,Departments!$B$2:$B$6,"Unknown")</f>
        <v>Human Resources</v>
      </c>
    </row>
    <row r="520" customFormat="false" ht="15" hidden="false" customHeight="false" outlineLevel="0" collapsed="false">
      <c r="A520" s="0" t="s">
        <v>547</v>
      </c>
      <c r="B520" s="4" t="n">
        <v>45812</v>
      </c>
      <c r="C520" s="0" t="s">
        <v>30</v>
      </c>
      <c r="D520" s="3" t="s">
        <v>28</v>
      </c>
      <c r="E520" s="2" t="n">
        <v>4303</v>
      </c>
      <c r="F520" s="5" t="n">
        <f aca="false">VLOOKUP(D520,Lookup!$A$2:$B$4,2,FALSE())</f>
        <v>0.05</v>
      </c>
      <c r="G520" s="2" t="n">
        <f aca="false">ROUND(E520*F520,2)</f>
        <v>215.15</v>
      </c>
      <c r="H520" s="2" t="n">
        <f aca="false">E520+G520</f>
        <v>4518.15</v>
      </c>
      <c r="I520" s="3" t="s">
        <v>22</v>
      </c>
      <c r="J520" s="0" t="str">
        <f aca="false">_xlfn.XLOOKUP(C520,Departments!$A$2:$A$6,Departments!$B$2:$B$6,"Unknown")</f>
        <v>Technology</v>
      </c>
    </row>
    <row r="521" customFormat="false" ht="15" hidden="false" customHeight="false" outlineLevel="0" collapsed="false">
      <c r="A521" s="0" t="s">
        <v>548</v>
      </c>
      <c r="B521" s="4" t="n">
        <v>45813</v>
      </c>
      <c r="C521" s="0" t="s">
        <v>32</v>
      </c>
      <c r="D521" s="3" t="s">
        <v>21</v>
      </c>
      <c r="E521" s="2" t="n">
        <v>4340</v>
      </c>
      <c r="F521" s="5" t="n">
        <f aca="false">VLOOKUP(D521,Lookup!$A$2:$B$4,2,FALSE())</f>
        <v>0.1</v>
      </c>
      <c r="G521" s="2" t="n">
        <f aca="false">ROUND(E521*F521,2)</f>
        <v>434</v>
      </c>
      <c r="H521" s="2" t="n">
        <f aca="false">E521+G521</f>
        <v>4774</v>
      </c>
      <c r="I521" s="3" t="s">
        <v>22</v>
      </c>
      <c r="J521" s="0" t="str">
        <f aca="false">_xlfn.XLOOKUP(C521,Departments!$A$2:$A$6,Departments!$B$2:$B$6,"Unknown")</f>
        <v>Operations</v>
      </c>
    </row>
    <row r="522" customFormat="false" ht="15" hidden="false" customHeight="false" outlineLevel="0" collapsed="false">
      <c r="A522" s="0" t="s">
        <v>549</v>
      </c>
      <c r="B522" s="4" t="n">
        <v>45814</v>
      </c>
      <c r="C522" s="0" t="s">
        <v>20</v>
      </c>
      <c r="D522" s="3" t="s">
        <v>25</v>
      </c>
      <c r="E522" s="2" t="n">
        <v>4377</v>
      </c>
      <c r="F522" s="5" t="n">
        <f aca="false">VLOOKUP(D522,Lookup!$A$2:$B$4,2,FALSE())</f>
        <v>0.15</v>
      </c>
      <c r="G522" s="2" t="n">
        <f aca="false">ROUND(E522*F522,2)</f>
        <v>656.55</v>
      </c>
      <c r="H522" s="2" t="n">
        <f aca="false">E522+G522</f>
        <v>5033.55</v>
      </c>
      <c r="I522" s="3" t="s">
        <v>22</v>
      </c>
      <c r="J522" s="0" t="str">
        <f aca="false">_xlfn.XLOOKUP(C522,Departments!$A$2:$A$6,Departments!$B$2:$B$6,"Unknown")</f>
        <v>Finance</v>
      </c>
    </row>
    <row r="523" customFormat="false" ht="15" hidden="false" customHeight="false" outlineLevel="0" collapsed="false">
      <c r="A523" s="0" t="s">
        <v>550</v>
      </c>
      <c r="B523" s="4" t="n">
        <v>45815</v>
      </c>
      <c r="C523" s="0" t="s">
        <v>24</v>
      </c>
      <c r="D523" s="3" t="s">
        <v>28</v>
      </c>
      <c r="E523" s="2" t="n">
        <v>4414</v>
      </c>
      <c r="F523" s="5" t="n">
        <f aca="false">VLOOKUP(D523,Lookup!$A$2:$B$4,2,FALSE())</f>
        <v>0.05</v>
      </c>
      <c r="G523" s="2" t="n">
        <f aca="false">ROUND(E523*F523,2)</f>
        <v>220.7</v>
      </c>
      <c r="H523" s="2" t="n">
        <f aca="false">E523+G523</f>
        <v>4634.7</v>
      </c>
      <c r="I523" s="3" t="s">
        <v>22</v>
      </c>
      <c r="J523" s="0" t="str">
        <f aca="false">_xlfn.XLOOKUP(C523,Departments!$A$2:$A$6,Departments!$B$2:$B$6,"Unknown")</f>
        <v>Quality</v>
      </c>
    </row>
    <row r="524" customFormat="false" ht="15" hidden="false" customHeight="false" outlineLevel="0" collapsed="false">
      <c r="A524" s="0" t="s">
        <v>551</v>
      </c>
      <c r="B524" s="4" t="n">
        <v>45816</v>
      </c>
      <c r="C524" s="0" t="s">
        <v>27</v>
      </c>
      <c r="D524" s="3" t="s">
        <v>21</v>
      </c>
      <c r="E524" s="2" t="n">
        <v>4451</v>
      </c>
      <c r="F524" s="5" t="n">
        <f aca="false">VLOOKUP(D524,Lookup!$A$2:$B$4,2,FALSE())</f>
        <v>0.1</v>
      </c>
      <c r="G524" s="2" t="n">
        <f aca="false">ROUND(E524*F524,2)</f>
        <v>445.1</v>
      </c>
      <c r="H524" s="2" t="n">
        <f aca="false">E524+G524</f>
        <v>4896.1</v>
      </c>
      <c r="I524" s="3" t="s">
        <v>22</v>
      </c>
      <c r="J524" s="0" t="str">
        <f aca="false">_xlfn.XLOOKUP(C524,Departments!$A$2:$A$6,Departments!$B$2:$B$6,"Unknown")</f>
        <v>Human Resources</v>
      </c>
    </row>
    <row r="525" customFormat="false" ht="15" hidden="false" customHeight="false" outlineLevel="0" collapsed="false">
      <c r="A525" s="0" t="s">
        <v>552</v>
      </c>
      <c r="B525" s="4" t="n">
        <v>45817</v>
      </c>
      <c r="C525" s="0" t="s">
        <v>30</v>
      </c>
      <c r="D525" s="3" t="s">
        <v>25</v>
      </c>
      <c r="E525" s="2" t="n">
        <v>4488</v>
      </c>
      <c r="F525" s="5" t="n">
        <f aca="false">VLOOKUP(D525,Lookup!$A$2:$B$4,2,FALSE())</f>
        <v>0.15</v>
      </c>
      <c r="G525" s="2" t="n">
        <f aca="false">ROUND(E525*F525,2)</f>
        <v>673.2</v>
      </c>
      <c r="H525" s="2" t="n">
        <f aca="false">E525+G525</f>
        <v>5161.2</v>
      </c>
      <c r="I525" s="3" t="s">
        <v>22</v>
      </c>
      <c r="J525" s="0" t="str">
        <f aca="false">_xlfn.XLOOKUP(C525,Departments!$A$2:$A$6,Departments!$B$2:$B$6,"Unknown")</f>
        <v>Technology</v>
      </c>
    </row>
    <row r="526" customFormat="false" ht="15" hidden="false" customHeight="false" outlineLevel="0" collapsed="false">
      <c r="A526" s="0" t="s">
        <v>553</v>
      </c>
      <c r="B526" s="4" t="n">
        <v>45818</v>
      </c>
      <c r="C526" s="0" t="s">
        <v>32</v>
      </c>
      <c r="D526" s="3" t="s">
        <v>28</v>
      </c>
      <c r="E526" s="2" t="n">
        <v>4525</v>
      </c>
      <c r="F526" s="5" t="n">
        <f aca="false">VLOOKUP(D526,Lookup!$A$2:$B$4,2,FALSE())</f>
        <v>0.05</v>
      </c>
      <c r="G526" s="2" t="n">
        <f aca="false">ROUND(E526*F526,2)</f>
        <v>226.25</v>
      </c>
      <c r="H526" s="2" t="n">
        <f aca="false">E526+G526</f>
        <v>4751.25</v>
      </c>
      <c r="I526" s="3" t="s">
        <v>35</v>
      </c>
      <c r="J526" s="0" t="str">
        <f aca="false">_xlfn.XLOOKUP(C526,Departments!$A$2:$A$6,Departments!$B$2:$B$6,"Unknown")</f>
        <v>Operations</v>
      </c>
    </row>
    <row r="527" customFormat="false" ht="15" hidden="false" customHeight="false" outlineLevel="0" collapsed="false">
      <c r="A527" s="0" t="s">
        <v>554</v>
      </c>
      <c r="B527" s="4" t="n">
        <v>45819</v>
      </c>
      <c r="C527" s="0" t="s">
        <v>20</v>
      </c>
      <c r="D527" s="3" t="s">
        <v>21</v>
      </c>
      <c r="E527" s="2" t="n">
        <v>4562</v>
      </c>
      <c r="F527" s="5" t="n">
        <f aca="false">VLOOKUP(D527,Lookup!$A$2:$B$4,2,FALSE())</f>
        <v>0.1</v>
      </c>
      <c r="G527" s="2" t="n">
        <f aca="false">ROUND(E527*F527,2)</f>
        <v>456.2</v>
      </c>
      <c r="H527" s="2" t="n">
        <f aca="false">E527+G527</f>
        <v>5018.2</v>
      </c>
      <c r="I527" s="3" t="s">
        <v>22</v>
      </c>
      <c r="J527" s="0" t="str">
        <f aca="false">_xlfn.XLOOKUP(C527,Departments!$A$2:$A$6,Departments!$B$2:$B$6,"Unknown")</f>
        <v>Finance</v>
      </c>
    </row>
    <row r="528" customFormat="false" ht="15" hidden="false" customHeight="false" outlineLevel="0" collapsed="false">
      <c r="A528" s="0" t="s">
        <v>555</v>
      </c>
      <c r="B528" s="4" t="n">
        <v>45820</v>
      </c>
      <c r="C528" s="0" t="s">
        <v>24</v>
      </c>
      <c r="D528" s="3" t="s">
        <v>25</v>
      </c>
      <c r="E528" s="2" t="n">
        <v>4599</v>
      </c>
      <c r="F528" s="5" t="n">
        <f aca="false">VLOOKUP(D528,Lookup!$A$2:$B$4,2,FALSE())</f>
        <v>0.15</v>
      </c>
      <c r="G528" s="2" t="n">
        <f aca="false">ROUND(E528*F528,2)</f>
        <v>689.85</v>
      </c>
      <c r="H528" s="2" t="n">
        <f aca="false">E528+G528</f>
        <v>5288.85</v>
      </c>
      <c r="I528" s="3" t="s">
        <v>22</v>
      </c>
      <c r="J528" s="0" t="str">
        <f aca="false">_xlfn.XLOOKUP(C528,Departments!$A$2:$A$6,Departments!$B$2:$B$6,"Unknown")</f>
        <v>Quality</v>
      </c>
    </row>
    <row r="529" customFormat="false" ht="15" hidden="false" customHeight="false" outlineLevel="0" collapsed="false">
      <c r="A529" s="0" t="s">
        <v>556</v>
      </c>
      <c r="B529" s="4" t="n">
        <v>45821</v>
      </c>
      <c r="C529" s="0" t="s">
        <v>27</v>
      </c>
      <c r="D529" s="3" t="s">
        <v>28</v>
      </c>
      <c r="E529" s="2" t="n">
        <v>4636</v>
      </c>
      <c r="F529" s="5" t="n">
        <f aca="false">VLOOKUP(D529,Lookup!$A$2:$B$4,2,FALSE())</f>
        <v>0.05</v>
      </c>
      <c r="G529" s="2" t="n">
        <f aca="false">ROUND(E529*F529,2)</f>
        <v>231.8</v>
      </c>
      <c r="H529" s="2" t="n">
        <f aca="false">E529+G529</f>
        <v>4867.8</v>
      </c>
      <c r="I529" s="3" t="s">
        <v>22</v>
      </c>
      <c r="J529" s="0" t="str">
        <f aca="false">_xlfn.XLOOKUP(C529,Departments!$A$2:$A$6,Departments!$B$2:$B$6,"Unknown")</f>
        <v>Human Resources</v>
      </c>
    </row>
    <row r="530" customFormat="false" ht="15" hidden="false" customHeight="false" outlineLevel="0" collapsed="false">
      <c r="A530" s="0" t="s">
        <v>557</v>
      </c>
      <c r="B530" s="4" t="n">
        <v>45822</v>
      </c>
      <c r="C530" s="0" t="s">
        <v>30</v>
      </c>
      <c r="D530" s="3" t="s">
        <v>21</v>
      </c>
      <c r="E530" s="2" t="n">
        <v>4673</v>
      </c>
      <c r="F530" s="5" t="n">
        <f aca="false">VLOOKUP(D530,Lookup!$A$2:$B$4,2,FALSE())</f>
        <v>0.1</v>
      </c>
      <c r="G530" s="2" t="n">
        <f aca="false">ROUND(E530*F530,2)</f>
        <v>467.3</v>
      </c>
      <c r="H530" s="2" t="n">
        <f aca="false">E530+G530</f>
        <v>5140.3</v>
      </c>
      <c r="I530" s="3" t="s">
        <v>22</v>
      </c>
      <c r="J530" s="0" t="str">
        <f aca="false">_xlfn.XLOOKUP(C530,Departments!$A$2:$A$6,Departments!$B$2:$B$6,"Unknown")</f>
        <v>Technology</v>
      </c>
    </row>
    <row r="531" customFormat="false" ht="15" hidden="false" customHeight="false" outlineLevel="0" collapsed="false">
      <c r="A531" s="0" t="s">
        <v>558</v>
      </c>
      <c r="B531" s="4" t="n">
        <v>45823</v>
      </c>
      <c r="C531" s="0" t="s">
        <v>32</v>
      </c>
      <c r="D531" s="3" t="s">
        <v>25</v>
      </c>
      <c r="E531" s="2" t="n">
        <v>4710</v>
      </c>
      <c r="F531" s="5" t="n">
        <f aca="false">VLOOKUP(D531,Lookup!$A$2:$B$4,2,FALSE())</f>
        <v>0.15</v>
      </c>
      <c r="G531" s="2" t="n">
        <f aca="false">ROUND(E531*F531,2)</f>
        <v>706.5</v>
      </c>
      <c r="H531" s="2" t="n">
        <f aca="false">E531+G531</f>
        <v>5416.5</v>
      </c>
      <c r="I531" s="3" t="s">
        <v>22</v>
      </c>
      <c r="J531" s="0" t="str">
        <f aca="false">_xlfn.XLOOKUP(C531,Departments!$A$2:$A$6,Departments!$B$2:$B$6,"Unknown")</f>
        <v>Operations</v>
      </c>
    </row>
    <row r="532" customFormat="false" ht="15" hidden="false" customHeight="false" outlineLevel="0" collapsed="false">
      <c r="A532" s="0" t="s">
        <v>559</v>
      </c>
      <c r="B532" s="4" t="n">
        <v>45824</v>
      </c>
      <c r="C532" s="0" t="s">
        <v>20</v>
      </c>
      <c r="D532" s="3" t="s">
        <v>28</v>
      </c>
      <c r="E532" s="2" t="n">
        <v>4747</v>
      </c>
      <c r="F532" s="5" t="n">
        <f aca="false">VLOOKUP(D532,Lookup!$A$2:$B$4,2,FALSE())</f>
        <v>0.05</v>
      </c>
      <c r="G532" s="2" t="n">
        <f aca="false">ROUND(E532*F532,2)</f>
        <v>237.35</v>
      </c>
      <c r="H532" s="2" t="n">
        <f aca="false">E532+G532</f>
        <v>4984.35</v>
      </c>
      <c r="I532" s="3" t="s">
        <v>22</v>
      </c>
      <c r="J532" s="0" t="str">
        <f aca="false">_xlfn.XLOOKUP(C532,Departments!$A$2:$A$6,Departments!$B$2:$B$6,"Unknown")</f>
        <v>Finance</v>
      </c>
    </row>
    <row r="533" customFormat="false" ht="15" hidden="false" customHeight="false" outlineLevel="0" collapsed="false">
      <c r="A533" s="0" t="s">
        <v>560</v>
      </c>
      <c r="B533" s="4" t="n">
        <v>45825</v>
      </c>
      <c r="C533" s="0" t="s">
        <v>24</v>
      </c>
      <c r="D533" s="3" t="s">
        <v>21</v>
      </c>
      <c r="E533" s="2" t="n">
        <v>4784</v>
      </c>
      <c r="F533" s="5" t="n">
        <f aca="false">VLOOKUP(D533,Lookup!$A$2:$B$4,2,FALSE())</f>
        <v>0.1</v>
      </c>
      <c r="G533" s="2" t="n">
        <f aca="false">ROUND(E533*F533,2)</f>
        <v>478.4</v>
      </c>
      <c r="H533" s="2" t="n">
        <f aca="false">E533+G533</f>
        <v>5262.4</v>
      </c>
      <c r="I533" s="3" t="s">
        <v>35</v>
      </c>
      <c r="J533" s="0" t="str">
        <f aca="false">_xlfn.XLOOKUP(C533,Departments!$A$2:$A$6,Departments!$B$2:$B$6,"Unknown")</f>
        <v>Quality</v>
      </c>
    </row>
    <row r="534" customFormat="false" ht="15" hidden="false" customHeight="false" outlineLevel="0" collapsed="false">
      <c r="A534" s="0" t="s">
        <v>561</v>
      </c>
      <c r="B534" s="4" t="n">
        <v>45826</v>
      </c>
      <c r="C534" s="0" t="s">
        <v>27</v>
      </c>
      <c r="D534" s="3" t="s">
        <v>25</v>
      </c>
      <c r="E534" s="2" t="n">
        <v>4821</v>
      </c>
      <c r="F534" s="5" t="n">
        <f aca="false">VLOOKUP(D534,Lookup!$A$2:$B$4,2,FALSE())</f>
        <v>0.15</v>
      </c>
      <c r="G534" s="2" t="n">
        <f aca="false">ROUND(E534*F534,2)</f>
        <v>723.15</v>
      </c>
      <c r="H534" s="2" t="n">
        <f aca="false">E534+G534</f>
        <v>5544.15</v>
      </c>
      <c r="I534" s="3" t="s">
        <v>22</v>
      </c>
      <c r="J534" s="0" t="str">
        <f aca="false">_xlfn.XLOOKUP(C534,Departments!$A$2:$A$6,Departments!$B$2:$B$6,"Unknown")</f>
        <v>Human Resources</v>
      </c>
    </row>
    <row r="535" customFormat="false" ht="15" hidden="false" customHeight="false" outlineLevel="0" collapsed="false">
      <c r="A535" s="0" t="s">
        <v>562</v>
      </c>
      <c r="B535" s="4" t="n">
        <v>45827</v>
      </c>
      <c r="C535" s="0" t="s">
        <v>30</v>
      </c>
      <c r="D535" s="3" t="s">
        <v>28</v>
      </c>
      <c r="E535" s="2" t="n">
        <v>4858</v>
      </c>
      <c r="F535" s="5" t="n">
        <f aca="false">VLOOKUP(D535,Lookup!$A$2:$B$4,2,FALSE())</f>
        <v>0.05</v>
      </c>
      <c r="G535" s="2" t="n">
        <f aca="false">ROUND(E535*F535,2)</f>
        <v>242.9</v>
      </c>
      <c r="H535" s="2" t="n">
        <f aca="false">E535+G535</f>
        <v>5100.9</v>
      </c>
      <c r="I535" s="3" t="s">
        <v>22</v>
      </c>
      <c r="J535" s="0" t="str">
        <f aca="false">_xlfn.XLOOKUP(C535,Departments!$A$2:$A$6,Departments!$B$2:$B$6,"Unknown")</f>
        <v>Technology</v>
      </c>
    </row>
    <row r="536" customFormat="false" ht="15" hidden="false" customHeight="false" outlineLevel="0" collapsed="false">
      <c r="A536" s="0" t="s">
        <v>563</v>
      </c>
      <c r="B536" s="4" t="n">
        <v>45828</v>
      </c>
      <c r="C536" s="0" t="s">
        <v>32</v>
      </c>
      <c r="D536" s="3" t="s">
        <v>21</v>
      </c>
      <c r="E536" s="2" t="n">
        <v>4895</v>
      </c>
      <c r="F536" s="5" t="n">
        <f aca="false">VLOOKUP(D536,Lookup!$A$2:$B$4,2,FALSE())</f>
        <v>0.1</v>
      </c>
      <c r="G536" s="2" t="n">
        <f aca="false">ROUND(E536*F536,2)</f>
        <v>489.5</v>
      </c>
      <c r="H536" s="2" t="n">
        <f aca="false">E536+G536</f>
        <v>5384.5</v>
      </c>
      <c r="I536" s="3" t="s">
        <v>22</v>
      </c>
      <c r="J536" s="0" t="str">
        <f aca="false">_xlfn.XLOOKUP(C536,Departments!$A$2:$A$6,Departments!$B$2:$B$6,"Unknown")</f>
        <v>Operations</v>
      </c>
    </row>
    <row r="537" customFormat="false" ht="15" hidden="false" customHeight="false" outlineLevel="0" collapsed="false">
      <c r="A537" s="0" t="s">
        <v>564</v>
      </c>
      <c r="B537" s="4" t="n">
        <v>45829</v>
      </c>
      <c r="C537" s="0" t="s">
        <v>20</v>
      </c>
      <c r="D537" s="3" t="s">
        <v>25</v>
      </c>
      <c r="E537" s="2" t="n">
        <v>4932</v>
      </c>
      <c r="F537" s="5" t="n">
        <f aca="false">VLOOKUP(D537,Lookup!$A$2:$B$4,2,FALSE())</f>
        <v>0.15</v>
      </c>
      <c r="G537" s="2" t="n">
        <f aca="false">ROUND(E537*F537,2)</f>
        <v>739.8</v>
      </c>
      <c r="H537" s="2" t="n">
        <f aca="false">E537+G537</f>
        <v>5671.8</v>
      </c>
      <c r="I537" s="3" t="s">
        <v>22</v>
      </c>
      <c r="J537" s="0" t="str">
        <f aca="false">_xlfn.XLOOKUP(C537,Departments!$A$2:$A$6,Departments!$B$2:$B$6,"Unknown")</f>
        <v>Finance</v>
      </c>
    </row>
    <row r="538" customFormat="false" ht="15" hidden="false" customHeight="false" outlineLevel="0" collapsed="false">
      <c r="A538" s="0" t="s">
        <v>565</v>
      </c>
      <c r="B538" s="4" t="n">
        <v>45830</v>
      </c>
      <c r="C538" s="0" t="s">
        <v>24</v>
      </c>
      <c r="D538" s="3" t="s">
        <v>28</v>
      </c>
      <c r="E538" s="2" t="n">
        <v>4969</v>
      </c>
      <c r="F538" s="5" t="n">
        <f aca="false">VLOOKUP(D538,Lookup!$A$2:$B$4,2,FALSE())</f>
        <v>0.05</v>
      </c>
      <c r="G538" s="2" t="n">
        <f aca="false">ROUND(E538*F538,2)</f>
        <v>248.45</v>
      </c>
      <c r="H538" s="2" t="n">
        <f aca="false">E538+G538</f>
        <v>5217.45</v>
      </c>
      <c r="I538" s="3" t="s">
        <v>22</v>
      </c>
      <c r="J538" s="0" t="str">
        <f aca="false">_xlfn.XLOOKUP(C538,Departments!$A$2:$A$6,Departments!$B$2:$B$6,"Unknown")</f>
        <v>Quality</v>
      </c>
    </row>
    <row r="539" customFormat="false" ht="15" hidden="false" customHeight="false" outlineLevel="0" collapsed="false">
      <c r="A539" s="0" t="s">
        <v>566</v>
      </c>
      <c r="B539" s="4" t="n">
        <v>45831</v>
      </c>
      <c r="C539" s="0" t="s">
        <v>27</v>
      </c>
      <c r="D539" s="3" t="s">
        <v>21</v>
      </c>
      <c r="E539" s="2" t="n">
        <v>5006</v>
      </c>
      <c r="F539" s="5" t="n">
        <f aca="false">VLOOKUP(D539,Lookup!$A$2:$B$4,2,FALSE())</f>
        <v>0.1</v>
      </c>
      <c r="G539" s="2" t="n">
        <f aca="false">ROUND(E539*F539,2)</f>
        <v>500.6</v>
      </c>
      <c r="H539" s="2" t="n">
        <f aca="false">E539+G539</f>
        <v>5506.6</v>
      </c>
      <c r="I539" s="3" t="s">
        <v>22</v>
      </c>
      <c r="J539" s="0" t="str">
        <f aca="false">_xlfn.XLOOKUP(C539,Departments!$A$2:$A$6,Departments!$B$2:$B$6,"Unknown")</f>
        <v>Human Resources</v>
      </c>
    </row>
    <row r="540" customFormat="false" ht="15" hidden="false" customHeight="false" outlineLevel="0" collapsed="false">
      <c r="A540" s="0" t="s">
        <v>567</v>
      </c>
      <c r="B540" s="4" t="n">
        <v>45832</v>
      </c>
      <c r="C540" s="0" t="s">
        <v>30</v>
      </c>
      <c r="D540" s="3" t="s">
        <v>25</v>
      </c>
      <c r="E540" s="2" t="n">
        <v>5043</v>
      </c>
      <c r="F540" s="5" t="n">
        <f aca="false">VLOOKUP(D540,Lookup!$A$2:$B$4,2,FALSE())</f>
        <v>0.15</v>
      </c>
      <c r="G540" s="2" t="n">
        <f aca="false">ROUND(E540*F540,2)</f>
        <v>756.45</v>
      </c>
      <c r="H540" s="2" t="n">
        <f aca="false">E540+G540</f>
        <v>5799.45</v>
      </c>
      <c r="I540" s="3" t="s">
        <v>35</v>
      </c>
      <c r="J540" s="0" t="str">
        <f aca="false">_xlfn.XLOOKUP(C540,Departments!$A$2:$A$6,Departments!$B$2:$B$6,"Unknown")</f>
        <v>Technology</v>
      </c>
    </row>
    <row r="541" customFormat="false" ht="15" hidden="false" customHeight="false" outlineLevel="0" collapsed="false">
      <c r="A541" s="0" t="s">
        <v>568</v>
      </c>
      <c r="B541" s="4" t="n">
        <v>45833</v>
      </c>
      <c r="C541" s="0" t="s">
        <v>32</v>
      </c>
      <c r="D541" s="3" t="s">
        <v>28</v>
      </c>
      <c r="E541" s="2" t="n">
        <v>5080</v>
      </c>
      <c r="F541" s="5" t="n">
        <f aca="false">VLOOKUP(D541,Lookup!$A$2:$B$4,2,FALSE())</f>
        <v>0.05</v>
      </c>
      <c r="G541" s="2" t="n">
        <f aca="false">ROUND(E541*F541,2)</f>
        <v>254</v>
      </c>
      <c r="H541" s="2" t="n">
        <f aca="false">E541+G541</f>
        <v>5334</v>
      </c>
      <c r="I541" s="3" t="s">
        <v>22</v>
      </c>
      <c r="J541" s="0" t="str">
        <f aca="false">_xlfn.XLOOKUP(C541,Departments!$A$2:$A$6,Departments!$B$2:$B$6,"Unknown")</f>
        <v>Operations</v>
      </c>
    </row>
    <row r="542" customFormat="false" ht="15" hidden="false" customHeight="false" outlineLevel="0" collapsed="false">
      <c r="A542" s="0" t="s">
        <v>569</v>
      </c>
      <c r="B542" s="4" t="n">
        <v>45834</v>
      </c>
      <c r="C542" s="0" t="s">
        <v>20</v>
      </c>
      <c r="D542" s="3" t="s">
        <v>21</v>
      </c>
      <c r="E542" s="2" t="n">
        <v>117</v>
      </c>
      <c r="F542" s="5" t="n">
        <f aca="false">VLOOKUP(D542,Lookup!$A$2:$B$4,2,FALSE())</f>
        <v>0.1</v>
      </c>
      <c r="G542" s="2" t="n">
        <f aca="false">ROUND(E542*F542,2)</f>
        <v>11.7</v>
      </c>
      <c r="H542" s="2" t="n">
        <f aca="false">E542+G542</f>
        <v>128.7</v>
      </c>
      <c r="I542" s="3" t="s">
        <v>22</v>
      </c>
      <c r="J542" s="0" t="str">
        <f aca="false">_xlfn.XLOOKUP(C542,Departments!$A$2:$A$6,Departments!$B$2:$B$6,"Unknown")</f>
        <v>Finance</v>
      </c>
    </row>
    <row r="543" customFormat="false" ht="15" hidden="false" customHeight="false" outlineLevel="0" collapsed="false">
      <c r="A543" s="0" t="s">
        <v>570</v>
      </c>
      <c r="B543" s="4" t="n">
        <v>45835</v>
      </c>
      <c r="C543" s="0" t="s">
        <v>24</v>
      </c>
      <c r="D543" s="3" t="s">
        <v>25</v>
      </c>
      <c r="E543" s="2" t="n">
        <v>154</v>
      </c>
      <c r="F543" s="5" t="n">
        <f aca="false">VLOOKUP(D543,Lookup!$A$2:$B$4,2,FALSE())</f>
        <v>0.15</v>
      </c>
      <c r="G543" s="2" t="n">
        <f aca="false">ROUND(E543*F543,2)</f>
        <v>23.1</v>
      </c>
      <c r="H543" s="2" t="n">
        <f aca="false">E543+G543</f>
        <v>177.1</v>
      </c>
      <c r="I543" s="3" t="s">
        <v>22</v>
      </c>
      <c r="J543" s="0" t="str">
        <f aca="false">_xlfn.XLOOKUP(C543,Departments!$A$2:$A$6,Departments!$B$2:$B$6,"Unknown")</f>
        <v>Quality</v>
      </c>
    </row>
    <row r="544" customFormat="false" ht="15" hidden="false" customHeight="false" outlineLevel="0" collapsed="false">
      <c r="A544" s="0" t="s">
        <v>571</v>
      </c>
      <c r="B544" s="4" t="n">
        <v>45836</v>
      </c>
      <c r="C544" s="0" t="s">
        <v>27</v>
      </c>
      <c r="D544" s="3" t="s">
        <v>28</v>
      </c>
      <c r="E544" s="2" t="n">
        <v>191</v>
      </c>
      <c r="F544" s="5" t="n">
        <f aca="false">VLOOKUP(D544,Lookup!$A$2:$B$4,2,FALSE())</f>
        <v>0.05</v>
      </c>
      <c r="G544" s="2" t="n">
        <f aca="false">ROUND(E544*F544,2)</f>
        <v>9.55</v>
      </c>
      <c r="H544" s="2" t="n">
        <f aca="false">E544+G544</f>
        <v>200.55</v>
      </c>
      <c r="I544" s="3" t="s">
        <v>22</v>
      </c>
      <c r="J544" s="0" t="str">
        <f aca="false">_xlfn.XLOOKUP(C544,Departments!$A$2:$A$6,Departments!$B$2:$B$6,"Unknown")</f>
        <v>Human Resources</v>
      </c>
    </row>
    <row r="545" customFormat="false" ht="15" hidden="false" customHeight="false" outlineLevel="0" collapsed="false">
      <c r="A545" s="0" t="s">
        <v>572</v>
      </c>
      <c r="B545" s="4" t="n">
        <v>45837</v>
      </c>
      <c r="C545" s="0" t="s">
        <v>30</v>
      </c>
      <c r="D545" s="3" t="s">
        <v>21</v>
      </c>
      <c r="E545" s="2" t="n">
        <v>228</v>
      </c>
      <c r="F545" s="5" t="n">
        <f aca="false">VLOOKUP(D545,Lookup!$A$2:$B$4,2,FALSE())</f>
        <v>0.1</v>
      </c>
      <c r="G545" s="2" t="n">
        <f aca="false">ROUND(E545*F545,2)</f>
        <v>22.8</v>
      </c>
      <c r="H545" s="2" t="n">
        <f aca="false">E545+G545</f>
        <v>250.8</v>
      </c>
      <c r="I545" s="3" t="s">
        <v>22</v>
      </c>
      <c r="J545" s="0" t="str">
        <f aca="false">_xlfn.XLOOKUP(C545,Departments!$A$2:$A$6,Departments!$B$2:$B$6,"Unknown")</f>
        <v>Technology</v>
      </c>
    </row>
    <row r="546" customFormat="false" ht="15" hidden="false" customHeight="false" outlineLevel="0" collapsed="false">
      <c r="A546" s="0" t="s">
        <v>573</v>
      </c>
      <c r="B546" s="4" t="n">
        <v>45838</v>
      </c>
      <c r="C546" s="0" t="s">
        <v>32</v>
      </c>
      <c r="D546" s="3" t="s">
        <v>25</v>
      </c>
      <c r="E546" s="2" t="n">
        <v>265</v>
      </c>
      <c r="F546" s="5" t="n">
        <f aca="false">VLOOKUP(D546,Lookup!$A$2:$B$4,2,FALSE())</f>
        <v>0.15</v>
      </c>
      <c r="G546" s="2" t="n">
        <f aca="false">ROUND(E546*F546,2)</f>
        <v>39.75</v>
      </c>
      <c r="H546" s="2" t="n">
        <f aca="false">E546+G546</f>
        <v>304.75</v>
      </c>
      <c r="I546" s="3" t="s">
        <v>22</v>
      </c>
      <c r="J546" s="0" t="str">
        <f aca="false">_xlfn.XLOOKUP(C546,Departments!$A$2:$A$6,Departments!$B$2:$B$6,"Unknown")</f>
        <v>Operations</v>
      </c>
    </row>
    <row r="547" customFormat="false" ht="15" hidden="false" customHeight="false" outlineLevel="0" collapsed="false">
      <c r="A547" s="0" t="s">
        <v>574</v>
      </c>
      <c r="B547" s="4" t="n">
        <v>45839</v>
      </c>
      <c r="C547" s="0" t="s">
        <v>20</v>
      </c>
      <c r="D547" s="3" t="s">
        <v>28</v>
      </c>
      <c r="E547" s="2" t="n">
        <v>302</v>
      </c>
      <c r="F547" s="5" t="n">
        <f aca="false">VLOOKUP(D547,Lookup!$A$2:$B$4,2,FALSE())</f>
        <v>0.05</v>
      </c>
      <c r="G547" s="2" t="n">
        <f aca="false">ROUND(E547*F547,2)</f>
        <v>15.1</v>
      </c>
      <c r="H547" s="2" t="n">
        <f aca="false">E547+G547</f>
        <v>317.1</v>
      </c>
      <c r="I547" s="3" t="s">
        <v>35</v>
      </c>
      <c r="J547" s="0" t="str">
        <f aca="false">_xlfn.XLOOKUP(C547,Departments!$A$2:$A$6,Departments!$B$2:$B$6,"Unknown")</f>
        <v>Finance</v>
      </c>
    </row>
    <row r="548" customFormat="false" ht="15" hidden="false" customHeight="false" outlineLevel="0" collapsed="false">
      <c r="A548" s="0" t="s">
        <v>575</v>
      </c>
      <c r="B548" s="4" t="n">
        <v>45840</v>
      </c>
      <c r="C548" s="0" t="s">
        <v>24</v>
      </c>
      <c r="D548" s="3" t="s">
        <v>21</v>
      </c>
      <c r="E548" s="2" t="n">
        <v>339</v>
      </c>
      <c r="F548" s="5" t="n">
        <f aca="false">VLOOKUP(D548,Lookup!$A$2:$B$4,2,FALSE())</f>
        <v>0.1</v>
      </c>
      <c r="G548" s="2" t="n">
        <f aca="false">ROUND(E548*F548,2)</f>
        <v>33.9</v>
      </c>
      <c r="H548" s="2" t="n">
        <f aca="false">E548+G548</f>
        <v>372.9</v>
      </c>
      <c r="I548" s="3" t="s">
        <v>22</v>
      </c>
      <c r="J548" s="0" t="str">
        <f aca="false">_xlfn.XLOOKUP(C548,Departments!$A$2:$A$6,Departments!$B$2:$B$6,"Unknown")</f>
        <v>Quality</v>
      </c>
    </row>
    <row r="549" customFormat="false" ht="15" hidden="false" customHeight="false" outlineLevel="0" collapsed="false">
      <c r="A549" s="0" t="s">
        <v>576</v>
      </c>
      <c r="B549" s="4" t="n">
        <v>45841</v>
      </c>
      <c r="C549" s="0" t="s">
        <v>27</v>
      </c>
      <c r="D549" s="3" t="s">
        <v>25</v>
      </c>
      <c r="E549" s="2" t="n">
        <v>376</v>
      </c>
      <c r="F549" s="5" t="n">
        <f aca="false">VLOOKUP(D549,Lookup!$A$2:$B$4,2,FALSE())</f>
        <v>0.15</v>
      </c>
      <c r="G549" s="2" t="n">
        <f aca="false">ROUND(E549*F549,2)</f>
        <v>56.4</v>
      </c>
      <c r="H549" s="2" t="n">
        <f aca="false">E549+G549</f>
        <v>432.4</v>
      </c>
      <c r="I549" s="3" t="s">
        <v>22</v>
      </c>
      <c r="J549" s="0" t="str">
        <f aca="false">_xlfn.XLOOKUP(C549,Departments!$A$2:$A$6,Departments!$B$2:$B$6,"Unknown")</f>
        <v>Human Resources</v>
      </c>
    </row>
    <row r="550" customFormat="false" ht="15" hidden="false" customHeight="false" outlineLevel="0" collapsed="false">
      <c r="A550" s="0" t="s">
        <v>577</v>
      </c>
      <c r="B550" s="4" t="n">
        <v>45842</v>
      </c>
      <c r="C550" s="0" t="s">
        <v>30</v>
      </c>
      <c r="D550" s="3" t="s">
        <v>28</v>
      </c>
      <c r="E550" s="2" t="n">
        <v>413</v>
      </c>
      <c r="F550" s="5" t="n">
        <f aca="false">VLOOKUP(D550,Lookup!$A$2:$B$4,2,FALSE())</f>
        <v>0.05</v>
      </c>
      <c r="G550" s="2" t="n">
        <f aca="false">ROUND(E550*F550,2)</f>
        <v>20.65</v>
      </c>
      <c r="H550" s="2" t="n">
        <f aca="false">E550+G550</f>
        <v>433.65</v>
      </c>
      <c r="I550" s="3" t="s">
        <v>22</v>
      </c>
      <c r="J550" s="0" t="str">
        <f aca="false">_xlfn.XLOOKUP(C550,Departments!$A$2:$A$6,Departments!$B$2:$B$6,"Unknown")</f>
        <v>Technology</v>
      </c>
    </row>
    <row r="551" customFormat="false" ht="15" hidden="false" customHeight="false" outlineLevel="0" collapsed="false">
      <c r="A551" s="0" t="s">
        <v>578</v>
      </c>
      <c r="B551" s="4" t="n">
        <v>45843</v>
      </c>
      <c r="C551" s="0" t="s">
        <v>32</v>
      </c>
      <c r="D551" s="3" t="s">
        <v>21</v>
      </c>
      <c r="E551" s="2" t="n">
        <v>450</v>
      </c>
      <c r="F551" s="5" t="n">
        <f aca="false">VLOOKUP(D551,Lookup!$A$2:$B$4,2,FALSE())</f>
        <v>0.1</v>
      </c>
      <c r="G551" s="2" t="n">
        <f aca="false">ROUND(E551*F551,2)</f>
        <v>45</v>
      </c>
      <c r="H551" s="2" t="n">
        <f aca="false">E551+G551</f>
        <v>495</v>
      </c>
      <c r="I551" s="3" t="s">
        <v>22</v>
      </c>
      <c r="J551" s="0" t="str">
        <f aca="false">_xlfn.XLOOKUP(C551,Departments!$A$2:$A$6,Departments!$B$2:$B$6,"Unknown")</f>
        <v>Operations</v>
      </c>
    </row>
    <row r="552" customFormat="false" ht="15" hidden="false" customHeight="false" outlineLevel="0" collapsed="false">
      <c r="A552" s="0" t="s">
        <v>579</v>
      </c>
      <c r="B552" s="4" t="n">
        <v>45844</v>
      </c>
      <c r="C552" s="0" t="s">
        <v>20</v>
      </c>
      <c r="D552" s="3" t="s">
        <v>25</v>
      </c>
      <c r="E552" s="2" t="n">
        <v>487</v>
      </c>
      <c r="F552" s="5" t="n">
        <f aca="false">VLOOKUP(D552,Lookup!$A$2:$B$4,2,FALSE())</f>
        <v>0.15</v>
      </c>
      <c r="G552" s="2" t="n">
        <f aca="false">ROUND(E552*F552,2)</f>
        <v>73.05</v>
      </c>
      <c r="H552" s="2" t="n">
        <f aca="false">E552+G552</f>
        <v>560.05</v>
      </c>
      <c r="I552" s="3" t="s">
        <v>22</v>
      </c>
      <c r="J552" s="0" t="str">
        <f aca="false">_xlfn.XLOOKUP(C552,Departments!$A$2:$A$6,Departments!$B$2:$B$6,"Unknown")</f>
        <v>Finance</v>
      </c>
    </row>
    <row r="553" customFormat="false" ht="15" hidden="false" customHeight="false" outlineLevel="0" collapsed="false">
      <c r="A553" s="0" t="s">
        <v>580</v>
      </c>
      <c r="B553" s="4" t="n">
        <v>45845</v>
      </c>
      <c r="C553" s="0" t="s">
        <v>24</v>
      </c>
      <c r="D553" s="3" t="s">
        <v>28</v>
      </c>
      <c r="E553" s="2" t="n">
        <v>524</v>
      </c>
      <c r="F553" s="5" t="n">
        <f aca="false">VLOOKUP(D553,Lookup!$A$2:$B$4,2,FALSE())</f>
        <v>0.05</v>
      </c>
      <c r="G553" s="2" t="n">
        <f aca="false">ROUND(E553*F553,2)</f>
        <v>26.2</v>
      </c>
      <c r="H553" s="2" t="n">
        <f aca="false">E553+G553</f>
        <v>550.2</v>
      </c>
      <c r="I553" s="3" t="s">
        <v>22</v>
      </c>
      <c r="J553" s="0" t="str">
        <f aca="false">_xlfn.XLOOKUP(C553,Departments!$A$2:$A$6,Departments!$B$2:$B$6,"Unknown")</f>
        <v>Quality</v>
      </c>
    </row>
    <row r="554" customFormat="false" ht="15" hidden="false" customHeight="false" outlineLevel="0" collapsed="false">
      <c r="A554" s="0" t="s">
        <v>581</v>
      </c>
      <c r="B554" s="4" t="n">
        <v>45846</v>
      </c>
      <c r="C554" s="0" t="s">
        <v>27</v>
      </c>
      <c r="D554" s="3" t="s">
        <v>21</v>
      </c>
      <c r="E554" s="2" t="n">
        <v>561</v>
      </c>
      <c r="F554" s="5" t="n">
        <f aca="false">VLOOKUP(D554,Lookup!$A$2:$B$4,2,FALSE())</f>
        <v>0.1</v>
      </c>
      <c r="G554" s="2" t="n">
        <f aca="false">ROUND(E554*F554,2)</f>
        <v>56.1</v>
      </c>
      <c r="H554" s="2" t="n">
        <f aca="false">E554+G554</f>
        <v>617.1</v>
      </c>
      <c r="I554" s="3" t="s">
        <v>35</v>
      </c>
      <c r="J554" s="0" t="str">
        <f aca="false">_xlfn.XLOOKUP(C554,Departments!$A$2:$A$6,Departments!$B$2:$B$6,"Unknown")</f>
        <v>Human Resources</v>
      </c>
    </row>
    <row r="555" customFormat="false" ht="15" hidden="false" customHeight="false" outlineLevel="0" collapsed="false">
      <c r="A555" s="0" t="s">
        <v>582</v>
      </c>
      <c r="B555" s="4" t="n">
        <v>45847</v>
      </c>
      <c r="C555" s="0" t="s">
        <v>30</v>
      </c>
      <c r="D555" s="3" t="s">
        <v>25</v>
      </c>
      <c r="E555" s="2" t="n">
        <v>598</v>
      </c>
      <c r="F555" s="5" t="n">
        <f aca="false">VLOOKUP(D555,Lookup!$A$2:$B$4,2,FALSE())</f>
        <v>0.15</v>
      </c>
      <c r="G555" s="2" t="n">
        <f aca="false">ROUND(E555*F555,2)</f>
        <v>89.7</v>
      </c>
      <c r="H555" s="2" t="n">
        <f aca="false">E555+G555</f>
        <v>687.7</v>
      </c>
      <c r="I555" s="3" t="s">
        <v>22</v>
      </c>
      <c r="J555" s="0" t="str">
        <f aca="false">_xlfn.XLOOKUP(C555,Departments!$A$2:$A$6,Departments!$B$2:$B$6,"Unknown")</f>
        <v>Technology</v>
      </c>
    </row>
    <row r="556" customFormat="false" ht="15" hidden="false" customHeight="false" outlineLevel="0" collapsed="false">
      <c r="A556" s="0" t="s">
        <v>583</v>
      </c>
      <c r="B556" s="4" t="n">
        <v>45848</v>
      </c>
      <c r="C556" s="0" t="s">
        <v>32</v>
      </c>
      <c r="D556" s="3" t="s">
        <v>28</v>
      </c>
      <c r="E556" s="2" t="n">
        <v>635</v>
      </c>
      <c r="F556" s="5" t="n">
        <f aca="false">VLOOKUP(D556,Lookup!$A$2:$B$4,2,FALSE())</f>
        <v>0.05</v>
      </c>
      <c r="G556" s="2" t="n">
        <f aca="false">ROUND(E556*F556,2)</f>
        <v>31.75</v>
      </c>
      <c r="H556" s="2" t="n">
        <f aca="false">E556+G556</f>
        <v>666.75</v>
      </c>
      <c r="I556" s="3" t="s">
        <v>22</v>
      </c>
      <c r="J556" s="0" t="str">
        <f aca="false">_xlfn.XLOOKUP(C556,Departments!$A$2:$A$6,Departments!$B$2:$B$6,"Unknown")</f>
        <v>Operations</v>
      </c>
    </row>
    <row r="557" customFormat="false" ht="15" hidden="false" customHeight="false" outlineLevel="0" collapsed="false">
      <c r="A557" s="0" t="s">
        <v>584</v>
      </c>
      <c r="B557" s="4" t="n">
        <v>45849</v>
      </c>
      <c r="C557" s="0" t="s">
        <v>20</v>
      </c>
      <c r="D557" s="3" t="s">
        <v>21</v>
      </c>
      <c r="E557" s="2" t="n">
        <v>672</v>
      </c>
      <c r="F557" s="5" t="n">
        <f aca="false">VLOOKUP(D557,Lookup!$A$2:$B$4,2,FALSE())</f>
        <v>0.1</v>
      </c>
      <c r="G557" s="2" t="n">
        <f aca="false">ROUND(E557*F557,2)</f>
        <v>67.2</v>
      </c>
      <c r="H557" s="2" t="n">
        <f aca="false">E557+G557</f>
        <v>739.2</v>
      </c>
      <c r="I557" s="3" t="s">
        <v>22</v>
      </c>
      <c r="J557" s="0" t="str">
        <f aca="false">_xlfn.XLOOKUP(C557,Departments!$A$2:$A$6,Departments!$B$2:$B$6,"Unknown")</f>
        <v>Finance</v>
      </c>
    </row>
    <row r="558" customFormat="false" ht="15" hidden="false" customHeight="false" outlineLevel="0" collapsed="false">
      <c r="A558" s="0" t="s">
        <v>585</v>
      </c>
      <c r="B558" s="4" t="n">
        <v>45850</v>
      </c>
      <c r="C558" s="0" t="s">
        <v>24</v>
      </c>
      <c r="D558" s="3" t="s">
        <v>25</v>
      </c>
      <c r="E558" s="2" t="n">
        <v>709</v>
      </c>
      <c r="F558" s="5" t="n">
        <f aca="false">VLOOKUP(D558,Lookup!$A$2:$B$4,2,FALSE())</f>
        <v>0.15</v>
      </c>
      <c r="G558" s="2" t="n">
        <f aca="false">ROUND(E558*F558,2)</f>
        <v>106.35</v>
      </c>
      <c r="H558" s="2" t="n">
        <f aca="false">E558+G558</f>
        <v>815.35</v>
      </c>
      <c r="I558" s="3" t="s">
        <v>22</v>
      </c>
      <c r="J558" s="0" t="str">
        <f aca="false">_xlfn.XLOOKUP(C558,Departments!$A$2:$A$6,Departments!$B$2:$B$6,"Unknown")</f>
        <v>Quality</v>
      </c>
    </row>
    <row r="559" customFormat="false" ht="15" hidden="false" customHeight="false" outlineLevel="0" collapsed="false">
      <c r="A559" s="0" t="s">
        <v>586</v>
      </c>
      <c r="B559" s="4" t="n">
        <v>45851</v>
      </c>
      <c r="C559" s="0" t="s">
        <v>27</v>
      </c>
      <c r="D559" s="3" t="s">
        <v>28</v>
      </c>
      <c r="E559" s="2" t="n">
        <v>746</v>
      </c>
      <c r="F559" s="5" t="n">
        <f aca="false">VLOOKUP(D559,Lookup!$A$2:$B$4,2,FALSE())</f>
        <v>0.05</v>
      </c>
      <c r="G559" s="2" t="n">
        <f aca="false">ROUND(E559*F559,2)</f>
        <v>37.3</v>
      </c>
      <c r="H559" s="2" t="n">
        <f aca="false">E559+G559</f>
        <v>783.3</v>
      </c>
      <c r="I559" s="3" t="s">
        <v>22</v>
      </c>
      <c r="J559" s="0" t="str">
        <f aca="false">_xlfn.XLOOKUP(C559,Departments!$A$2:$A$6,Departments!$B$2:$B$6,"Unknown")</f>
        <v>Human Resources</v>
      </c>
    </row>
    <row r="560" customFormat="false" ht="15" hidden="false" customHeight="false" outlineLevel="0" collapsed="false">
      <c r="A560" s="0" t="s">
        <v>587</v>
      </c>
      <c r="B560" s="4" t="n">
        <v>45852</v>
      </c>
      <c r="C560" s="0" t="s">
        <v>30</v>
      </c>
      <c r="D560" s="3" t="s">
        <v>21</v>
      </c>
      <c r="E560" s="2" t="n">
        <v>783</v>
      </c>
      <c r="F560" s="5" t="n">
        <f aca="false">VLOOKUP(D560,Lookup!$A$2:$B$4,2,FALSE())</f>
        <v>0.1</v>
      </c>
      <c r="G560" s="2" t="n">
        <f aca="false">ROUND(E560*F560,2)</f>
        <v>78.3</v>
      </c>
      <c r="H560" s="2" t="n">
        <f aca="false">E560+G560</f>
        <v>861.3</v>
      </c>
      <c r="I560" s="3" t="s">
        <v>22</v>
      </c>
      <c r="J560" s="0" t="str">
        <f aca="false">_xlfn.XLOOKUP(C560,Departments!$A$2:$A$6,Departments!$B$2:$B$6,"Unknown")</f>
        <v>Technology</v>
      </c>
    </row>
    <row r="561" customFormat="false" ht="15" hidden="false" customHeight="false" outlineLevel="0" collapsed="false">
      <c r="A561" s="0" t="s">
        <v>588</v>
      </c>
      <c r="B561" s="4" t="n">
        <v>45853</v>
      </c>
      <c r="C561" s="0" t="s">
        <v>32</v>
      </c>
      <c r="D561" s="3" t="s">
        <v>25</v>
      </c>
      <c r="E561" s="2" t="n">
        <v>820</v>
      </c>
      <c r="F561" s="5" t="n">
        <f aca="false">VLOOKUP(D561,Lookup!$A$2:$B$4,2,FALSE())</f>
        <v>0.15</v>
      </c>
      <c r="G561" s="2" t="n">
        <f aca="false">ROUND(E561*F561,2)</f>
        <v>123</v>
      </c>
      <c r="H561" s="2" t="n">
        <f aca="false">E561+G561</f>
        <v>943</v>
      </c>
      <c r="I561" s="3" t="s">
        <v>35</v>
      </c>
      <c r="J561" s="0" t="str">
        <f aca="false">_xlfn.XLOOKUP(C561,Departments!$A$2:$A$6,Departments!$B$2:$B$6,"Unknown")</f>
        <v>Operations</v>
      </c>
    </row>
    <row r="562" customFormat="false" ht="15" hidden="false" customHeight="false" outlineLevel="0" collapsed="false">
      <c r="A562" s="0" t="s">
        <v>589</v>
      </c>
      <c r="B562" s="4" t="n">
        <v>45854</v>
      </c>
      <c r="C562" s="0" t="s">
        <v>20</v>
      </c>
      <c r="D562" s="3" t="s">
        <v>28</v>
      </c>
      <c r="E562" s="2" t="n">
        <v>857</v>
      </c>
      <c r="F562" s="5" t="n">
        <f aca="false">VLOOKUP(D562,Lookup!$A$2:$B$4,2,FALSE())</f>
        <v>0.05</v>
      </c>
      <c r="G562" s="2" t="n">
        <f aca="false">ROUND(E562*F562,2)</f>
        <v>42.85</v>
      </c>
      <c r="H562" s="2" t="n">
        <f aca="false">E562+G562</f>
        <v>899.85</v>
      </c>
      <c r="I562" s="3" t="s">
        <v>22</v>
      </c>
      <c r="J562" s="0" t="str">
        <f aca="false">_xlfn.XLOOKUP(C562,Departments!$A$2:$A$6,Departments!$B$2:$B$6,"Unknown")</f>
        <v>Finance</v>
      </c>
    </row>
    <row r="563" customFormat="false" ht="15" hidden="false" customHeight="false" outlineLevel="0" collapsed="false">
      <c r="A563" s="0" t="s">
        <v>590</v>
      </c>
      <c r="B563" s="4" t="n">
        <v>45855</v>
      </c>
      <c r="C563" s="0" t="s">
        <v>24</v>
      </c>
      <c r="D563" s="3" t="s">
        <v>21</v>
      </c>
      <c r="E563" s="2" t="n">
        <v>894</v>
      </c>
      <c r="F563" s="5" t="n">
        <f aca="false">VLOOKUP(D563,Lookup!$A$2:$B$4,2,FALSE())</f>
        <v>0.1</v>
      </c>
      <c r="G563" s="2" t="n">
        <f aca="false">ROUND(E563*F563,2)</f>
        <v>89.4</v>
      </c>
      <c r="H563" s="2" t="n">
        <f aca="false">E563+G563</f>
        <v>983.4</v>
      </c>
      <c r="I563" s="3" t="s">
        <v>22</v>
      </c>
      <c r="J563" s="0" t="str">
        <f aca="false">_xlfn.XLOOKUP(C563,Departments!$A$2:$A$6,Departments!$B$2:$B$6,"Unknown")</f>
        <v>Quality</v>
      </c>
    </row>
    <row r="564" customFormat="false" ht="15" hidden="false" customHeight="false" outlineLevel="0" collapsed="false">
      <c r="A564" s="0" t="s">
        <v>591</v>
      </c>
      <c r="B564" s="4" t="n">
        <v>45856</v>
      </c>
      <c r="C564" s="0" t="s">
        <v>27</v>
      </c>
      <c r="D564" s="3" t="s">
        <v>25</v>
      </c>
      <c r="E564" s="2" t="n">
        <v>931</v>
      </c>
      <c r="F564" s="5" t="n">
        <f aca="false">VLOOKUP(D564,Lookup!$A$2:$B$4,2,FALSE())</f>
        <v>0.15</v>
      </c>
      <c r="G564" s="2" t="n">
        <f aca="false">ROUND(E564*F564,2)</f>
        <v>139.65</v>
      </c>
      <c r="H564" s="2" t="n">
        <f aca="false">E564+G564</f>
        <v>1070.65</v>
      </c>
      <c r="I564" s="3" t="s">
        <v>22</v>
      </c>
      <c r="J564" s="0" t="str">
        <f aca="false">_xlfn.XLOOKUP(C564,Departments!$A$2:$A$6,Departments!$B$2:$B$6,"Unknown")</f>
        <v>Human Resources</v>
      </c>
    </row>
    <row r="565" customFormat="false" ht="15" hidden="false" customHeight="false" outlineLevel="0" collapsed="false">
      <c r="A565" s="0" t="s">
        <v>592</v>
      </c>
      <c r="B565" s="4" t="n">
        <v>45857</v>
      </c>
      <c r="C565" s="0" t="s">
        <v>30</v>
      </c>
      <c r="D565" s="3" t="s">
        <v>28</v>
      </c>
      <c r="E565" s="2" t="n">
        <v>968</v>
      </c>
      <c r="F565" s="5" t="n">
        <f aca="false">VLOOKUP(D565,Lookup!$A$2:$B$4,2,FALSE())</f>
        <v>0.05</v>
      </c>
      <c r="G565" s="2" t="n">
        <f aca="false">ROUND(E565*F565,2)</f>
        <v>48.4</v>
      </c>
      <c r="H565" s="2" t="n">
        <f aca="false">E565+G565</f>
        <v>1016.4</v>
      </c>
      <c r="I565" s="3" t="s">
        <v>22</v>
      </c>
      <c r="J565" s="0" t="str">
        <f aca="false">_xlfn.XLOOKUP(C565,Departments!$A$2:$A$6,Departments!$B$2:$B$6,"Unknown")</f>
        <v>Technology</v>
      </c>
    </row>
    <row r="566" customFormat="false" ht="15" hidden="false" customHeight="false" outlineLevel="0" collapsed="false">
      <c r="A566" s="0" t="s">
        <v>593</v>
      </c>
      <c r="B566" s="4" t="n">
        <v>45858</v>
      </c>
      <c r="C566" s="0" t="s">
        <v>32</v>
      </c>
      <c r="D566" s="3" t="s">
        <v>21</v>
      </c>
      <c r="E566" s="2" t="n">
        <v>1005</v>
      </c>
      <c r="F566" s="5" t="n">
        <f aca="false">VLOOKUP(D566,Lookup!$A$2:$B$4,2,FALSE())</f>
        <v>0.1</v>
      </c>
      <c r="G566" s="2" t="n">
        <f aca="false">ROUND(E566*F566,2)</f>
        <v>100.5</v>
      </c>
      <c r="H566" s="2" t="n">
        <f aca="false">E566+G566</f>
        <v>1105.5</v>
      </c>
      <c r="I566" s="3" t="s">
        <v>22</v>
      </c>
      <c r="J566" s="0" t="str">
        <f aca="false">_xlfn.XLOOKUP(C566,Departments!$A$2:$A$6,Departments!$B$2:$B$6,"Unknown")</f>
        <v>Operations</v>
      </c>
    </row>
    <row r="567" customFormat="false" ht="15" hidden="false" customHeight="false" outlineLevel="0" collapsed="false">
      <c r="A567" s="0" t="s">
        <v>594</v>
      </c>
      <c r="B567" s="4" t="n">
        <v>45859</v>
      </c>
      <c r="C567" s="0" t="s">
        <v>20</v>
      </c>
      <c r="D567" s="3" t="s">
        <v>25</v>
      </c>
      <c r="E567" s="2" t="n">
        <v>1042</v>
      </c>
      <c r="F567" s="5" t="n">
        <f aca="false">VLOOKUP(D567,Lookup!$A$2:$B$4,2,FALSE())</f>
        <v>0.15</v>
      </c>
      <c r="G567" s="2" t="n">
        <f aca="false">ROUND(E567*F567,2)</f>
        <v>156.3</v>
      </c>
      <c r="H567" s="2" t="n">
        <f aca="false">E567+G567</f>
        <v>1198.3</v>
      </c>
      <c r="I567" s="3" t="s">
        <v>22</v>
      </c>
      <c r="J567" s="0" t="str">
        <f aca="false">_xlfn.XLOOKUP(C567,Departments!$A$2:$A$6,Departments!$B$2:$B$6,"Unknown")</f>
        <v>Finance</v>
      </c>
    </row>
    <row r="568" customFormat="false" ht="15" hidden="false" customHeight="false" outlineLevel="0" collapsed="false">
      <c r="A568" s="0" t="s">
        <v>595</v>
      </c>
      <c r="B568" s="4" t="n">
        <v>45860</v>
      </c>
      <c r="C568" s="0" t="s">
        <v>24</v>
      </c>
      <c r="D568" s="3" t="s">
        <v>28</v>
      </c>
      <c r="E568" s="2" t="n">
        <v>1079</v>
      </c>
      <c r="F568" s="5" t="n">
        <f aca="false">VLOOKUP(D568,Lookup!$A$2:$B$4,2,FALSE())</f>
        <v>0.05</v>
      </c>
      <c r="G568" s="2" t="n">
        <f aca="false">ROUND(E568*F568,2)</f>
        <v>53.95</v>
      </c>
      <c r="H568" s="2" t="n">
        <f aca="false">E568+G568</f>
        <v>1132.95</v>
      </c>
      <c r="I568" s="3" t="s">
        <v>35</v>
      </c>
      <c r="J568" s="0" t="str">
        <f aca="false">_xlfn.XLOOKUP(C568,Departments!$A$2:$A$6,Departments!$B$2:$B$6,"Unknown")</f>
        <v>Quality</v>
      </c>
    </row>
    <row r="569" customFormat="false" ht="15" hidden="false" customHeight="false" outlineLevel="0" collapsed="false">
      <c r="A569" s="0" t="s">
        <v>596</v>
      </c>
      <c r="B569" s="4" t="n">
        <v>45861</v>
      </c>
      <c r="C569" s="0" t="s">
        <v>27</v>
      </c>
      <c r="D569" s="3" t="s">
        <v>21</v>
      </c>
      <c r="E569" s="2" t="n">
        <v>1116</v>
      </c>
      <c r="F569" s="5" t="n">
        <f aca="false">VLOOKUP(D569,Lookup!$A$2:$B$4,2,FALSE())</f>
        <v>0.1</v>
      </c>
      <c r="G569" s="2" t="n">
        <f aca="false">ROUND(E569*F569,2)</f>
        <v>111.6</v>
      </c>
      <c r="H569" s="2" t="n">
        <f aca="false">E569+G569</f>
        <v>1227.6</v>
      </c>
      <c r="I569" s="3" t="s">
        <v>22</v>
      </c>
      <c r="J569" s="0" t="str">
        <f aca="false">_xlfn.XLOOKUP(C569,Departments!$A$2:$A$6,Departments!$B$2:$B$6,"Unknown")</f>
        <v>Human Resources</v>
      </c>
    </row>
    <row r="570" customFormat="false" ht="15" hidden="false" customHeight="false" outlineLevel="0" collapsed="false">
      <c r="A570" s="0" t="s">
        <v>597</v>
      </c>
      <c r="B570" s="4" t="n">
        <v>45862</v>
      </c>
      <c r="C570" s="0" t="s">
        <v>30</v>
      </c>
      <c r="D570" s="3" t="s">
        <v>25</v>
      </c>
      <c r="E570" s="2" t="n">
        <v>1153</v>
      </c>
      <c r="F570" s="5" t="n">
        <f aca="false">VLOOKUP(D570,Lookup!$A$2:$B$4,2,FALSE())</f>
        <v>0.15</v>
      </c>
      <c r="G570" s="2" t="n">
        <f aca="false">ROUND(E570*F570,2)</f>
        <v>172.95</v>
      </c>
      <c r="H570" s="2" t="n">
        <f aca="false">E570+G570</f>
        <v>1325.95</v>
      </c>
      <c r="I570" s="3" t="s">
        <v>22</v>
      </c>
      <c r="J570" s="0" t="str">
        <f aca="false">_xlfn.XLOOKUP(C570,Departments!$A$2:$A$6,Departments!$B$2:$B$6,"Unknown")</f>
        <v>Technology</v>
      </c>
    </row>
    <row r="571" customFormat="false" ht="15" hidden="false" customHeight="false" outlineLevel="0" collapsed="false">
      <c r="A571" s="0" t="s">
        <v>598</v>
      </c>
      <c r="B571" s="4" t="n">
        <v>45863</v>
      </c>
      <c r="C571" s="0" t="s">
        <v>32</v>
      </c>
      <c r="D571" s="3" t="s">
        <v>28</v>
      </c>
      <c r="E571" s="2" t="n">
        <v>1190</v>
      </c>
      <c r="F571" s="5" t="n">
        <f aca="false">VLOOKUP(D571,Lookup!$A$2:$B$4,2,FALSE())</f>
        <v>0.05</v>
      </c>
      <c r="G571" s="2" t="n">
        <f aca="false">ROUND(E571*F571,2)</f>
        <v>59.5</v>
      </c>
      <c r="H571" s="2" t="n">
        <f aca="false">E571+G571</f>
        <v>1249.5</v>
      </c>
      <c r="I571" s="3" t="s">
        <v>22</v>
      </c>
      <c r="J571" s="0" t="str">
        <f aca="false">_xlfn.XLOOKUP(C571,Departments!$A$2:$A$6,Departments!$B$2:$B$6,"Unknown")</f>
        <v>Operations</v>
      </c>
    </row>
    <row r="572" customFormat="false" ht="15" hidden="false" customHeight="false" outlineLevel="0" collapsed="false">
      <c r="A572" s="0" t="s">
        <v>599</v>
      </c>
      <c r="B572" s="4" t="n">
        <v>45864</v>
      </c>
      <c r="C572" s="0" t="s">
        <v>20</v>
      </c>
      <c r="D572" s="3" t="s">
        <v>21</v>
      </c>
      <c r="E572" s="2" t="n">
        <v>1227</v>
      </c>
      <c r="F572" s="5" t="n">
        <f aca="false">VLOOKUP(D572,Lookup!$A$2:$B$4,2,FALSE())</f>
        <v>0.1</v>
      </c>
      <c r="G572" s="2" t="n">
        <f aca="false">ROUND(E572*F572,2)</f>
        <v>122.7</v>
      </c>
      <c r="H572" s="2" t="n">
        <f aca="false">E572+G572</f>
        <v>1349.7</v>
      </c>
      <c r="I572" s="3" t="s">
        <v>22</v>
      </c>
      <c r="J572" s="0" t="str">
        <f aca="false">_xlfn.XLOOKUP(C572,Departments!$A$2:$A$6,Departments!$B$2:$B$6,"Unknown")</f>
        <v>Finance</v>
      </c>
    </row>
    <row r="573" customFormat="false" ht="15" hidden="false" customHeight="false" outlineLevel="0" collapsed="false">
      <c r="A573" s="0" t="s">
        <v>600</v>
      </c>
      <c r="B573" s="4" t="n">
        <v>45865</v>
      </c>
      <c r="C573" s="0" t="s">
        <v>24</v>
      </c>
      <c r="D573" s="3" t="s">
        <v>25</v>
      </c>
      <c r="E573" s="2" t="n">
        <v>1264</v>
      </c>
      <c r="F573" s="5" t="n">
        <f aca="false">VLOOKUP(D573,Lookup!$A$2:$B$4,2,FALSE())</f>
        <v>0.15</v>
      </c>
      <c r="G573" s="2" t="n">
        <f aca="false">ROUND(E573*F573,2)</f>
        <v>189.6</v>
      </c>
      <c r="H573" s="2" t="n">
        <f aca="false">E573+G573</f>
        <v>1453.6</v>
      </c>
      <c r="I573" s="3" t="s">
        <v>22</v>
      </c>
      <c r="J573" s="0" t="str">
        <f aca="false">_xlfn.XLOOKUP(C573,Departments!$A$2:$A$6,Departments!$B$2:$B$6,"Unknown")</f>
        <v>Quality</v>
      </c>
    </row>
    <row r="574" customFormat="false" ht="15" hidden="false" customHeight="false" outlineLevel="0" collapsed="false">
      <c r="A574" s="0" t="s">
        <v>601</v>
      </c>
      <c r="B574" s="4" t="n">
        <v>45866</v>
      </c>
      <c r="C574" s="0" t="s">
        <v>27</v>
      </c>
      <c r="D574" s="3" t="s">
        <v>28</v>
      </c>
      <c r="E574" s="2" t="n">
        <v>1301</v>
      </c>
      <c r="F574" s="5" t="n">
        <f aca="false">VLOOKUP(D574,Lookup!$A$2:$B$4,2,FALSE())</f>
        <v>0.05</v>
      </c>
      <c r="G574" s="2" t="n">
        <f aca="false">ROUND(E574*F574,2)</f>
        <v>65.05</v>
      </c>
      <c r="H574" s="2" t="n">
        <f aca="false">E574+G574</f>
        <v>1366.05</v>
      </c>
      <c r="I574" s="3" t="s">
        <v>22</v>
      </c>
      <c r="J574" s="0" t="str">
        <f aca="false">_xlfn.XLOOKUP(C574,Departments!$A$2:$A$6,Departments!$B$2:$B$6,"Unknown")</f>
        <v>Human Resources</v>
      </c>
    </row>
    <row r="575" customFormat="false" ht="15" hidden="false" customHeight="false" outlineLevel="0" collapsed="false">
      <c r="A575" s="0" t="s">
        <v>602</v>
      </c>
      <c r="B575" s="4" t="n">
        <v>45867</v>
      </c>
      <c r="C575" s="0" t="s">
        <v>30</v>
      </c>
      <c r="D575" s="3" t="s">
        <v>21</v>
      </c>
      <c r="E575" s="2" t="n">
        <v>1338</v>
      </c>
      <c r="F575" s="5" t="n">
        <f aca="false">VLOOKUP(D575,Lookup!$A$2:$B$4,2,FALSE())</f>
        <v>0.1</v>
      </c>
      <c r="G575" s="2" t="n">
        <f aca="false">ROUND(E575*F575,2)</f>
        <v>133.8</v>
      </c>
      <c r="H575" s="2" t="n">
        <f aca="false">E575+G575</f>
        <v>1471.8</v>
      </c>
      <c r="I575" s="3" t="s">
        <v>35</v>
      </c>
      <c r="J575" s="0" t="str">
        <f aca="false">_xlfn.XLOOKUP(C575,Departments!$A$2:$A$6,Departments!$B$2:$B$6,"Unknown")</f>
        <v>Technology</v>
      </c>
    </row>
    <row r="576" customFormat="false" ht="15" hidden="false" customHeight="false" outlineLevel="0" collapsed="false">
      <c r="A576" s="0" t="s">
        <v>603</v>
      </c>
      <c r="B576" s="4" t="n">
        <v>45868</v>
      </c>
      <c r="C576" s="0" t="s">
        <v>32</v>
      </c>
      <c r="D576" s="3" t="s">
        <v>25</v>
      </c>
      <c r="E576" s="2" t="n">
        <v>1375</v>
      </c>
      <c r="F576" s="5" t="n">
        <f aca="false">VLOOKUP(D576,Lookup!$A$2:$B$4,2,FALSE())</f>
        <v>0.15</v>
      </c>
      <c r="G576" s="2" t="n">
        <f aca="false">ROUND(E576*F576,2)</f>
        <v>206.25</v>
      </c>
      <c r="H576" s="2" t="n">
        <f aca="false">E576+G576</f>
        <v>1581.25</v>
      </c>
      <c r="I576" s="3" t="s">
        <v>22</v>
      </c>
      <c r="J576" s="0" t="str">
        <f aca="false">_xlfn.XLOOKUP(C576,Departments!$A$2:$A$6,Departments!$B$2:$B$6,"Unknown")</f>
        <v>Operations</v>
      </c>
    </row>
    <row r="577" customFormat="false" ht="15" hidden="false" customHeight="false" outlineLevel="0" collapsed="false">
      <c r="A577" s="0" t="s">
        <v>604</v>
      </c>
      <c r="B577" s="4" t="n">
        <v>45869</v>
      </c>
      <c r="C577" s="0" t="s">
        <v>20</v>
      </c>
      <c r="D577" s="3" t="s">
        <v>28</v>
      </c>
      <c r="E577" s="2" t="n">
        <v>1412</v>
      </c>
      <c r="F577" s="5" t="n">
        <f aca="false">VLOOKUP(D577,Lookup!$A$2:$B$4,2,FALSE())</f>
        <v>0.05</v>
      </c>
      <c r="G577" s="2" t="n">
        <f aca="false">ROUND(E577*F577,2)</f>
        <v>70.6</v>
      </c>
      <c r="H577" s="2" t="n">
        <f aca="false">E577+G577</f>
        <v>1482.6</v>
      </c>
      <c r="I577" s="3" t="s">
        <v>22</v>
      </c>
      <c r="J577" s="0" t="str">
        <f aca="false">_xlfn.XLOOKUP(C577,Departments!$A$2:$A$6,Departments!$B$2:$B$6,"Unknown")</f>
        <v>Finance</v>
      </c>
    </row>
    <row r="578" customFormat="false" ht="15" hidden="false" customHeight="false" outlineLevel="0" collapsed="false">
      <c r="A578" s="0" t="s">
        <v>605</v>
      </c>
      <c r="B578" s="4" t="n">
        <v>45870</v>
      </c>
      <c r="C578" s="0" t="s">
        <v>24</v>
      </c>
      <c r="D578" s="3" t="s">
        <v>21</v>
      </c>
      <c r="E578" s="2" t="n">
        <v>1449</v>
      </c>
      <c r="F578" s="5" t="n">
        <f aca="false">VLOOKUP(D578,Lookup!$A$2:$B$4,2,FALSE())</f>
        <v>0.1</v>
      </c>
      <c r="G578" s="2" t="n">
        <f aca="false">ROUND(E578*F578,2)</f>
        <v>144.9</v>
      </c>
      <c r="H578" s="2" t="n">
        <f aca="false">E578+G578</f>
        <v>1593.9</v>
      </c>
      <c r="I578" s="3" t="s">
        <v>22</v>
      </c>
      <c r="J578" s="0" t="str">
        <f aca="false">_xlfn.XLOOKUP(C578,Departments!$A$2:$A$6,Departments!$B$2:$B$6,"Unknown")</f>
        <v>Quality</v>
      </c>
    </row>
    <row r="579" customFormat="false" ht="15" hidden="false" customHeight="false" outlineLevel="0" collapsed="false">
      <c r="A579" s="0" t="s">
        <v>606</v>
      </c>
      <c r="B579" s="4" t="n">
        <v>45871</v>
      </c>
      <c r="C579" s="0" t="s">
        <v>27</v>
      </c>
      <c r="D579" s="3" t="s">
        <v>25</v>
      </c>
      <c r="E579" s="2" t="n">
        <v>1486</v>
      </c>
      <c r="F579" s="5" t="n">
        <f aca="false">VLOOKUP(D579,Lookup!$A$2:$B$4,2,FALSE())</f>
        <v>0.15</v>
      </c>
      <c r="G579" s="2" t="n">
        <f aca="false">ROUND(E579*F579,2)</f>
        <v>222.9</v>
      </c>
      <c r="H579" s="2" t="n">
        <f aca="false">E579+G579</f>
        <v>1708.9</v>
      </c>
      <c r="I579" s="3" t="s">
        <v>22</v>
      </c>
      <c r="J579" s="0" t="str">
        <f aca="false">_xlfn.XLOOKUP(C579,Departments!$A$2:$A$6,Departments!$B$2:$B$6,"Unknown")</f>
        <v>Human Resources</v>
      </c>
    </row>
    <row r="580" customFormat="false" ht="15" hidden="false" customHeight="false" outlineLevel="0" collapsed="false">
      <c r="A580" s="0" t="s">
        <v>607</v>
      </c>
      <c r="B580" s="4" t="n">
        <v>45872</v>
      </c>
      <c r="C580" s="0" t="s">
        <v>30</v>
      </c>
      <c r="D580" s="3" t="s">
        <v>28</v>
      </c>
      <c r="E580" s="2" t="n">
        <v>1523</v>
      </c>
      <c r="F580" s="5" t="n">
        <f aca="false">VLOOKUP(D580,Lookup!$A$2:$B$4,2,FALSE())</f>
        <v>0.05</v>
      </c>
      <c r="G580" s="2" t="n">
        <f aca="false">ROUND(E580*F580,2)</f>
        <v>76.15</v>
      </c>
      <c r="H580" s="2" t="n">
        <f aca="false">E580+G580</f>
        <v>1599.15</v>
      </c>
      <c r="I580" s="3" t="s">
        <v>22</v>
      </c>
      <c r="J580" s="0" t="str">
        <f aca="false">_xlfn.XLOOKUP(C580,Departments!$A$2:$A$6,Departments!$B$2:$B$6,"Unknown")</f>
        <v>Technology</v>
      </c>
    </row>
    <row r="581" customFormat="false" ht="15" hidden="false" customHeight="false" outlineLevel="0" collapsed="false">
      <c r="A581" s="0" t="s">
        <v>608</v>
      </c>
      <c r="B581" s="4" t="n">
        <v>45873</v>
      </c>
      <c r="C581" s="0" t="s">
        <v>32</v>
      </c>
      <c r="D581" s="3" t="s">
        <v>21</v>
      </c>
      <c r="E581" s="2" t="n">
        <v>1560</v>
      </c>
      <c r="F581" s="5" t="n">
        <f aca="false">VLOOKUP(D581,Lookup!$A$2:$B$4,2,FALSE())</f>
        <v>0.1</v>
      </c>
      <c r="G581" s="2" t="n">
        <f aca="false">ROUND(E581*F581,2)</f>
        <v>156</v>
      </c>
      <c r="H581" s="2" t="n">
        <f aca="false">E581+G581</f>
        <v>1716</v>
      </c>
      <c r="I581" s="3" t="s">
        <v>22</v>
      </c>
      <c r="J581" s="0" t="str">
        <f aca="false">_xlfn.XLOOKUP(C581,Departments!$A$2:$A$6,Departments!$B$2:$B$6,"Unknown")</f>
        <v>Operations</v>
      </c>
    </row>
    <row r="582" customFormat="false" ht="15" hidden="false" customHeight="false" outlineLevel="0" collapsed="false">
      <c r="A582" s="0" t="s">
        <v>609</v>
      </c>
      <c r="B582" s="4" t="n">
        <v>45874</v>
      </c>
      <c r="C582" s="0" t="s">
        <v>20</v>
      </c>
      <c r="D582" s="3" t="s">
        <v>25</v>
      </c>
      <c r="E582" s="2" t="n">
        <v>1597</v>
      </c>
      <c r="F582" s="5" t="n">
        <f aca="false">VLOOKUP(D582,Lookup!$A$2:$B$4,2,FALSE())</f>
        <v>0.15</v>
      </c>
      <c r="G582" s="2" t="n">
        <f aca="false">ROUND(E582*F582,2)</f>
        <v>239.55</v>
      </c>
      <c r="H582" s="2" t="n">
        <f aca="false">E582+G582</f>
        <v>1836.55</v>
      </c>
      <c r="I582" s="3" t="s">
        <v>35</v>
      </c>
      <c r="J582" s="0" t="str">
        <f aca="false">_xlfn.XLOOKUP(C582,Departments!$A$2:$A$6,Departments!$B$2:$B$6,"Unknown")</f>
        <v>Finance</v>
      </c>
    </row>
    <row r="583" customFormat="false" ht="15" hidden="false" customHeight="false" outlineLevel="0" collapsed="false">
      <c r="A583" s="0" t="s">
        <v>610</v>
      </c>
      <c r="B583" s="4" t="n">
        <v>45875</v>
      </c>
      <c r="C583" s="0" t="s">
        <v>24</v>
      </c>
      <c r="D583" s="3" t="s">
        <v>28</v>
      </c>
      <c r="E583" s="2" t="n">
        <v>1634</v>
      </c>
      <c r="F583" s="5" t="n">
        <f aca="false">VLOOKUP(D583,Lookup!$A$2:$B$4,2,FALSE())</f>
        <v>0.05</v>
      </c>
      <c r="G583" s="2" t="n">
        <f aca="false">ROUND(E583*F583,2)</f>
        <v>81.7</v>
      </c>
      <c r="H583" s="2" t="n">
        <f aca="false">E583+G583</f>
        <v>1715.7</v>
      </c>
      <c r="I583" s="3" t="s">
        <v>22</v>
      </c>
      <c r="J583" s="0" t="str">
        <f aca="false">_xlfn.XLOOKUP(C583,Departments!$A$2:$A$6,Departments!$B$2:$B$6,"Unknown")</f>
        <v>Quality</v>
      </c>
    </row>
    <row r="584" customFormat="false" ht="15" hidden="false" customHeight="false" outlineLevel="0" collapsed="false">
      <c r="A584" s="0" t="s">
        <v>611</v>
      </c>
      <c r="B584" s="4" t="n">
        <v>45876</v>
      </c>
      <c r="C584" s="0" t="s">
        <v>27</v>
      </c>
      <c r="D584" s="3" t="s">
        <v>21</v>
      </c>
      <c r="E584" s="2" t="n">
        <v>1671</v>
      </c>
      <c r="F584" s="5" t="n">
        <f aca="false">VLOOKUP(D584,Lookup!$A$2:$B$4,2,FALSE())</f>
        <v>0.1</v>
      </c>
      <c r="G584" s="2" t="n">
        <f aca="false">ROUND(E584*F584,2)</f>
        <v>167.1</v>
      </c>
      <c r="H584" s="2" t="n">
        <f aca="false">E584+G584</f>
        <v>1838.1</v>
      </c>
      <c r="I584" s="3" t="s">
        <v>22</v>
      </c>
      <c r="J584" s="0" t="str">
        <f aca="false">_xlfn.XLOOKUP(C584,Departments!$A$2:$A$6,Departments!$B$2:$B$6,"Unknown")</f>
        <v>Human Resources</v>
      </c>
    </row>
    <row r="585" customFormat="false" ht="15" hidden="false" customHeight="false" outlineLevel="0" collapsed="false">
      <c r="A585" s="0" t="s">
        <v>612</v>
      </c>
      <c r="B585" s="4" t="n">
        <v>45877</v>
      </c>
      <c r="C585" s="0" t="s">
        <v>30</v>
      </c>
      <c r="D585" s="3" t="s">
        <v>25</v>
      </c>
      <c r="E585" s="2" t="n">
        <v>1708</v>
      </c>
      <c r="F585" s="5" t="n">
        <f aca="false">VLOOKUP(D585,Lookup!$A$2:$B$4,2,FALSE())</f>
        <v>0.15</v>
      </c>
      <c r="G585" s="2" t="n">
        <f aca="false">ROUND(E585*F585,2)</f>
        <v>256.2</v>
      </c>
      <c r="H585" s="2" t="n">
        <f aca="false">E585+G585</f>
        <v>1964.2</v>
      </c>
      <c r="I585" s="3" t="s">
        <v>22</v>
      </c>
      <c r="J585" s="0" t="str">
        <f aca="false">_xlfn.XLOOKUP(C585,Departments!$A$2:$A$6,Departments!$B$2:$B$6,"Unknown")</f>
        <v>Technology</v>
      </c>
    </row>
    <row r="586" customFormat="false" ht="15" hidden="false" customHeight="false" outlineLevel="0" collapsed="false">
      <c r="A586" s="0" t="s">
        <v>613</v>
      </c>
      <c r="B586" s="4" t="n">
        <v>45878</v>
      </c>
      <c r="C586" s="0" t="s">
        <v>32</v>
      </c>
      <c r="D586" s="3" t="s">
        <v>28</v>
      </c>
      <c r="E586" s="2" t="n">
        <v>1745</v>
      </c>
      <c r="F586" s="5" t="n">
        <f aca="false">VLOOKUP(D586,Lookup!$A$2:$B$4,2,FALSE())</f>
        <v>0.05</v>
      </c>
      <c r="G586" s="2" t="n">
        <f aca="false">ROUND(E586*F586,2)</f>
        <v>87.25</v>
      </c>
      <c r="H586" s="2" t="n">
        <f aca="false">E586+G586</f>
        <v>1832.25</v>
      </c>
      <c r="I586" s="3" t="s">
        <v>22</v>
      </c>
      <c r="J586" s="0" t="str">
        <f aca="false">_xlfn.XLOOKUP(C586,Departments!$A$2:$A$6,Departments!$B$2:$B$6,"Unknown")</f>
        <v>Operations</v>
      </c>
    </row>
    <row r="587" customFormat="false" ht="15" hidden="false" customHeight="false" outlineLevel="0" collapsed="false">
      <c r="A587" s="0" t="s">
        <v>614</v>
      </c>
      <c r="B587" s="4" t="n">
        <v>45879</v>
      </c>
      <c r="C587" s="0" t="s">
        <v>20</v>
      </c>
      <c r="D587" s="3" t="s">
        <v>21</v>
      </c>
      <c r="E587" s="2" t="n">
        <v>1782</v>
      </c>
      <c r="F587" s="5" t="n">
        <f aca="false">VLOOKUP(D587,Lookup!$A$2:$B$4,2,FALSE())</f>
        <v>0.1</v>
      </c>
      <c r="G587" s="2" t="n">
        <f aca="false">ROUND(E587*F587,2)</f>
        <v>178.2</v>
      </c>
      <c r="H587" s="2" t="n">
        <f aca="false">E587+G587</f>
        <v>1960.2</v>
      </c>
      <c r="I587" s="3" t="s">
        <v>22</v>
      </c>
      <c r="J587" s="0" t="str">
        <f aca="false">_xlfn.XLOOKUP(C587,Departments!$A$2:$A$6,Departments!$B$2:$B$6,"Unknown")</f>
        <v>Finance</v>
      </c>
    </row>
    <row r="588" customFormat="false" ht="15" hidden="false" customHeight="false" outlineLevel="0" collapsed="false">
      <c r="A588" s="0" t="s">
        <v>615</v>
      </c>
      <c r="B588" s="4" t="n">
        <v>45880</v>
      </c>
      <c r="C588" s="0" t="s">
        <v>24</v>
      </c>
      <c r="D588" s="3" t="s">
        <v>25</v>
      </c>
      <c r="E588" s="2" t="n">
        <v>1819</v>
      </c>
      <c r="F588" s="5" t="n">
        <f aca="false">VLOOKUP(D588,Lookup!$A$2:$B$4,2,FALSE())</f>
        <v>0.15</v>
      </c>
      <c r="G588" s="2" t="n">
        <f aca="false">ROUND(E588*F588,2)</f>
        <v>272.85</v>
      </c>
      <c r="H588" s="2" t="n">
        <f aca="false">E588+G588</f>
        <v>2091.85</v>
      </c>
      <c r="I588" s="3" t="s">
        <v>22</v>
      </c>
      <c r="J588" s="0" t="str">
        <f aca="false">_xlfn.XLOOKUP(C588,Departments!$A$2:$A$6,Departments!$B$2:$B$6,"Unknown")</f>
        <v>Quality</v>
      </c>
    </row>
    <row r="589" customFormat="false" ht="15" hidden="false" customHeight="false" outlineLevel="0" collapsed="false">
      <c r="A589" s="0" t="s">
        <v>616</v>
      </c>
      <c r="B589" s="4" t="n">
        <v>45881</v>
      </c>
      <c r="C589" s="0" t="s">
        <v>27</v>
      </c>
      <c r="D589" s="3" t="s">
        <v>28</v>
      </c>
      <c r="E589" s="2" t="n">
        <v>1856</v>
      </c>
      <c r="F589" s="5" t="n">
        <f aca="false">VLOOKUP(D589,Lookup!$A$2:$B$4,2,FALSE())</f>
        <v>0.05</v>
      </c>
      <c r="G589" s="2" t="n">
        <f aca="false">ROUND(E589*F589,2)</f>
        <v>92.8</v>
      </c>
      <c r="H589" s="2" t="n">
        <f aca="false">E589+G589</f>
        <v>1948.8</v>
      </c>
      <c r="I589" s="3" t="s">
        <v>35</v>
      </c>
      <c r="J589" s="0" t="str">
        <f aca="false">_xlfn.XLOOKUP(C589,Departments!$A$2:$A$6,Departments!$B$2:$B$6,"Unknown")</f>
        <v>Human Resources</v>
      </c>
    </row>
    <row r="590" customFormat="false" ht="15" hidden="false" customHeight="false" outlineLevel="0" collapsed="false">
      <c r="A590" s="0" t="s">
        <v>617</v>
      </c>
      <c r="B590" s="4" t="n">
        <v>45882</v>
      </c>
      <c r="C590" s="0" t="s">
        <v>30</v>
      </c>
      <c r="D590" s="3" t="s">
        <v>21</v>
      </c>
      <c r="E590" s="2" t="n">
        <v>1893</v>
      </c>
      <c r="F590" s="5" t="n">
        <f aca="false">VLOOKUP(D590,Lookup!$A$2:$B$4,2,FALSE())</f>
        <v>0.1</v>
      </c>
      <c r="G590" s="2" t="n">
        <f aca="false">ROUND(E590*F590,2)</f>
        <v>189.3</v>
      </c>
      <c r="H590" s="2" t="n">
        <f aca="false">E590+G590</f>
        <v>2082.3</v>
      </c>
      <c r="I590" s="3" t="s">
        <v>22</v>
      </c>
      <c r="J590" s="0" t="str">
        <f aca="false">_xlfn.XLOOKUP(C590,Departments!$A$2:$A$6,Departments!$B$2:$B$6,"Unknown")</f>
        <v>Technology</v>
      </c>
    </row>
    <row r="591" customFormat="false" ht="15" hidden="false" customHeight="false" outlineLevel="0" collapsed="false">
      <c r="A591" s="0" t="s">
        <v>618</v>
      </c>
      <c r="B591" s="4" t="n">
        <v>45883</v>
      </c>
      <c r="C591" s="0" t="s">
        <v>32</v>
      </c>
      <c r="D591" s="3" t="s">
        <v>25</v>
      </c>
      <c r="E591" s="2" t="n">
        <v>1930</v>
      </c>
      <c r="F591" s="5" t="n">
        <f aca="false">VLOOKUP(D591,Lookup!$A$2:$B$4,2,FALSE())</f>
        <v>0.15</v>
      </c>
      <c r="G591" s="2" t="n">
        <f aca="false">ROUND(E591*F591,2)</f>
        <v>289.5</v>
      </c>
      <c r="H591" s="2" t="n">
        <f aca="false">E591+G591</f>
        <v>2219.5</v>
      </c>
      <c r="I591" s="3" t="s">
        <v>22</v>
      </c>
      <c r="J591" s="0" t="str">
        <f aca="false">_xlfn.XLOOKUP(C591,Departments!$A$2:$A$6,Departments!$B$2:$B$6,"Unknown")</f>
        <v>Operations</v>
      </c>
    </row>
    <row r="592" customFormat="false" ht="15" hidden="false" customHeight="false" outlineLevel="0" collapsed="false">
      <c r="A592" s="0" t="s">
        <v>619</v>
      </c>
      <c r="B592" s="4" t="n">
        <v>45884</v>
      </c>
      <c r="C592" s="0" t="s">
        <v>20</v>
      </c>
      <c r="D592" s="3" t="s">
        <v>28</v>
      </c>
      <c r="E592" s="2" t="n">
        <v>1967</v>
      </c>
      <c r="F592" s="5" t="n">
        <f aca="false">VLOOKUP(D592,Lookup!$A$2:$B$4,2,FALSE())</f>
        <v>0.05</v>
      </c>
      <c r="G592" s="2" t="n">
        <f aca="false">ROUND(E592*F592,2)</f>
        <v>98.35</v>
      </c>
      <c r="H592" s="2" t="n">
        <f aca="false">E592+G592</f>
        <v>2065.35</v>
      </c>
      <c r="I592" s="3" t="s">
        <v>22</v>
      </c>
      <c r="J592" s="0" t="str">
        <f aca="false">_xlfn.XLOOKUP(C592,Departments!$A$2:$A$6,Departments!$B$2:$B$6,"Unknown")</f>
        <v>Finance</v>
      </c>
    </row>
    <row r="593" customFormat="false" ht="15" hidden="false" customHeight="false" outlineLevel="0" collapsed="false">
      <c r="A593" s="0" t="s">
        <v>620</v>
      </c>
      <c r="B593" s="4" t="n">
        <v>45885</v>
      </c>
      <c r="C593" s="0" t="s">
        <v>24</v>
      </c>
      <c r="D593" s="3" t="s">
        <v>21</v>
      </c>
      <c r="E593" s="2" t="n">
        <v>2004</v>
      </c>
      <c r="F593" s="5" t="n">
        <f aca="false">VLOOKUP(D593,Lookup!$A$2:$B$4,2,FALSE())</f>
        <v>0.1</v>
      </c>
      <c r="G593" s="2" t="n">
        <f aca="false">ROUND(E593*F593,2)</f>
        <v>200.4</v>
      </c>
      <c r="H593" s="2" t="n">
        <f aca="false">E593+G593</f>
        <v>2204.4</v>
      </c>
      <c r="I593" s="3" t="s">
        <v>22</v>
      </c>
      <c r="J593" s="0" t="str">
        <f aca="false">_xlfn.XLOOKUP(C593,Departments!$A$2:$A$6,Departments!$B$2:$B$6,"Unknown")</f>
        <v>Quality</v>
      </c>
    </row>
    <row r="594" customFormat="false" ht="15" hidden="false" customHeight="false" outlineLevel="0" collapsed="false">
      <c r="A594" s="0" t="s">
        <v>621</v>
      </c>
      <c r="B594" s="4" t="n">
        <v>45886</v>
      </c>
      <c r="C594" s="0" t="s">
        <v>27</v>
      </c>
      <c r="D594" s="3" t="s">
        <v>25</v>
      </c>
      <c r="E594" s="2" t="n">
        <v>2041</v>
      </c>
      <c r="F594" s="5" t="n">
        <f aca="false">VLOOKUP(D594,Lookup!$A$2:$B$4,2,FALSE())</f>
        <v>0.15</v>
      </c>
      <c r="G594" s="2" t="n">
        <f aca="false">ROUND(E594*F594,2)</f>
        <v>306.15</v>
      </c>
      <c r="H594" s="2" t="n">
        <f aca="false">E594+G594</f>
        <v>2347.15</v>
      </c>
      <c r="I594" s="3" t="s">
        <v>22</v>
      </c>
      <c r="J594" s="0" t="str">
        <f aca="false">_xlfn.XLOOKUP(C594,Departments!$A$2:$A$6,Departments!$B$2:$B$6,"Unknown")</f>
        <v>Human Resources</v>
      </c>
    </row>
    <row r="595" customFormat="false" ht="15" hidden="false" customHeight="false" outlineLevel="0" collapsed="false">
      <c r="A595" s="0" t="s">
        <v>622</v>
      </c>
      <c r="B595" s="4" t="n">
        <v>45887</v>
      </c>
      <c r="C595" s="0" t="s">
        <v>30</v>
      </c>
      <c r="D595" s="3" t="s">
        <v>28</v>
      </c>
      <c r="E595" s="2" t="n">
        <v>2078</v>
      </c>
      <c r="F595" s="5" t="n">
        <f aca="false">VLOOKUP(D595,Lookup!$A$2:$B$4,2,FALSE())</f>
        <v>0.05</v>
      </c>
      <c r="G595" s="2" t="n">
        <f aca="false">ROUND(E595*F595,2)</f>
        <v>103.9</v>
      </c>
      <c r="H595" s="2" t="n">
        <f aca="false">E595+G595</f>
        <v>2181.9</v>
      </c>
      <c r="I595" s="3" t="s">
        <v>22</v>
      </c>
      <c r="J595" s="0" t="str">
        <f aca="false">_xlfn.XLOOKUP(C595,Departments!$A$2:$A$6,Departments!$B$2:$B$6,"Unknown")</f>
        <v>Technology</v>
      </c>
    </row>
    <row r="596" customFormat="false" ht="15" hidden="false" customHeight="false" outlineLevel="0" collapsed="false">
      <c r="A596" s="0" t="s">
        <v>623</v>
      </c>
      <c r="B596" s="4" t="n">
        <v>45888</v>
      </c>
      <c r="C596" s="0" t="s">
        <v>32</v>
      </c>
      <c r="D596" s="3" t="s">
        <v>21</v>
      </c>
      <c r="E596" s="2" t="n">
        <v>2115</v>
      </c>
      <c r="F596" s="5" t="n">
        <f aca="false">VLOOKUP(D596,Lookup!$A$2:$B$4,2,FALSE())</f>
        <v>0.1</v>
      </c>
      <c r="G596" s="2" t="n">
        <f aca="false">ROUND(E596*F596,2)</f>
        <v>211.5</v>
      </c>
      <c r="H596" s="2" t="n">
        <f aca="false">E596+G596</f>
        <v>2326.5</v>
      </c>
      <c r="I596" s="3" t="s">
        <v>35</v>
      </c>
      <c r="J596" s="0" t="str">
        <f aca="false">_xlfn.XLOOKUP(C596,Departments!$A$2:$A$6,Departments!$B$2:$B$6,"Unknown")</f>
        <v>Operations</v>
      </c>
    </row>
    <row r="597" customFormat="false" ht="15" hidden="false" customHeight="false" outlineLevel="0" collapsed="false">
      <c r="A597" s="0" t="s">
        <v>624</v>
      </c>
      <c r="B597" s="4" t="n">
        <v>45889</v>
      </c>
      <c r="C597" s="0" t="s">
        <v>20</v>
      </c>
      <c r="D597" s="3" t="s">
        <v>25</v>
      </c>
      <c r="E597" s="2" t="n">
        <v>2152</v>
      </c>
      <c r="F597" s="5" t="n">
        <f aca="false">VLOOKUP(D597,Lookup!$A$2:$B$4,2,FALSE())</f>
        <v>0.15</v>
      </c>
      <c r="G597" s="2" t="n">
        <f aca="false">ROUND(E597*F597,2)</f>
        <v>322.8</v>
      </c>
      <c r="H597" s="2" t="n">
        <f aca="false">E597+G597</f>
        <v>2474.8</v>
      </c>
      <c r="I597" s="3" t="s">
        <v>22</v>
      </c>
      <c r="J597" s="0" t="str">
        <f aca="false">_xlfn.XLOOKUP(C597,Departments!$A$2:$A$6,Departments!$B$2:$B$6,"Unknown")</f>
        <v>Finance</v>
      </c>
    </row>
    <row r="598" customFormat="false" ht="15" hidden="false" customHeight="false" outlineLevel="0" collapsed="false">
      <c r="A598" s="0" t="s">
        <v>625</v>
      </c>
      <c r="B598" s="4" t="n">
        <v>45890</v>
      </c>
      <c r="C598" s="0" t="s">
        <v>24</v>
      </c>
      <c r="D598" s="3" t="s">
        <v>28</v>
      </c>
      <c r="E598" s="2" t="n">
        <v>2189</v>
      </c>
      <c r="F598" s="5" t="n">
        <f aca="false">VLOOKUP(D598,Lookup!$A$2:$B$4,2,FALSE())</f>
        <v>0.05</v>
      </c>
      <c r="G598" s="2" t="n">
        <f aca="false">ROUND(E598*F598,2)</f>
        <v>109.45</v>
      </c>
      <c r="H598" s="2" t="n">
        <f aca="false">E598+G598</f>
        <v>2298.45</v>
      </c>
      <c r="I598" s="3" t="s">
        <v>22</v>
      </c>
      <c r="J598" s="0" t="str">
        <f aca="false">_xlfn.XLOOKUP(C598,Departments!$A$2:$A$6,Departments!$B$2:$B$6,"Unknown")</f>
        <v>Quality</v>
      </c>
    </row>
    <row r="599" customFormat="false" ht="15" hidden="false" customHeight="false" outlineLevel="0" collapsed="false">
      <c r="A599" s="0" t="s">
        <v>626</v>
      </c>
      <c r="B599" s="4" t="n">
        <v>45891</v>
      </c>
      <c r="C599" s="0" t="s">
        <v>27</v>
      </c>
      <c r="D599" s="3" t="s">
        <v>21</v>
      </c>
      <c r="E599" s="2" t="n">
        <v>2226</v>
      </c>
      <c r="F599" s="5" t="n">
        <f aca="false">VLOOKUP(D599,Lookup!$A$2:$B$4,2,FALSE())</f>
        <v>0.1</v>
      </c>
      <c r="G599" s="2" t="n">
        <f aca="false">ROUND(E599*F599,2)</f>
        <v>222.6</v>
      </c>
      <c r="H599" s="2" t="n">
        <f aca="false">E599+G599</f>
        <v>2448.6</v>
      </c>
      <c r="I599" s="3" t="s">
        <v>22</v>
      </c>
      <c r="J599" s="0" t="str">
        <f aca="false">_xlfn.XLOOKUP(C599,Departments!$A$2:$A$6,Departments!$B$2:$B$6,"Unknown")</f>
        <v>Human Resources</v>
      </c>
    </row>
    <row r="600" customFormat="false" ht="15" hidden="false" customHeight="false" outlineLevel="0" collapsed="false">
      <c r="A600" s="0" t="s">
        <v>627</v>
      </c>
      <c r="B600" s="4" t="n">
        <v>45892</v>
      </c>
      <c r="C600" s="0" t="s">
        <v>30</v>
      </c>
      <c r="D600" s="3" t="s">
        <v>25</v>
      </c>
      <c r="E600" s="2" t="n">
        <v>2263</v>
      </c>
      <c r="F600" s="5" t="n">
        <f aca="false">VLOOKUP(D600,Lookup!$A$2:$B$4,2,FALSE())</f>
        <v>0.15</v>
      </c>
      <c r="G600" s="2" t="n">
        <f aca="false">ROUND(E600*F600,2)</f>
        <v>339.45</v>
      </c>
      <c r="H600" s="2" t="n">
        <f aca="false">E600+G600</f>
        <v>2602.45</v>
      </c>
      <c r="I600" s="3" t="s">
        <v>22</v>
      </c>
      <c r="J600" s="0" t="str">
        <f aca="false">_xlfn.XLOOKUP(C600,Departments!$A$2:$A$6,Departments!$B$2:$B$6,"Unknown")</f>
        <v>Technology</v>
      </c>
    </row>
    <row r="601" customFormat="false" ht="15" hidden="false" customHeight="false" outlineLevel="0" collapsed="false">
      <c r="A601" s="0" t="s">
        <v>628</v>
      </c>
      <c r="B601" s="4" t="n">
        <v>45893</v>
      </c>
      <c r="C601" s="0" t="s">
        <v>32</v>
      </c>
      <c r="D601" s="3" t="s">
        <v>28</v>
      </c>
      <c r="E601" s="2" t="n">
        <v>2300</v>
      </c>
      <c r="F601" s="5" t="n">
        <f aca="false">VLOOKUP(D601,Lookup!$A$2:$B$4,2,FALSE())</f>
        <v>0.05</v>
      </c>
      <c r="G601" s="2" t="n">
        <f aca="false">ROUND(E601*F601,2)</f>
        <v>115</v>
      </c>
      <c r="H601" s="2" t="n">
        <f aca="false">E601+G601</f>
        <v>2415</v>
      </c>
      <c r="I601" s="3" t="s">
        <v>22</v>
      </c>
      <c r="J601" s="0" t="str">
        <f aca="false">_xlfn.XLOOKUP(C601,Departments!$A$2:$A$6,Departments!$B$2:$B$6,"Unknown")</f>
        <v>Operations</v>
      </c>
    </row>
    <row r="602" customFormat="false" ht="15" hidden="false" customHeight="false" outlineLevel="0" collapsed="false">
      <c r="A602" s="0" t="s">
        <v>629</v>
      </c>
      <c r="B602" s="4" t="n">
        <v>45894</v>
      </c>
      <c r="C602" s="0" t="s">
        <v>20</v>
      </c>
      <c r="D602" s="3" t="s">
        <v>21</v>
      </c>
      <c r="E602" s="2" t="n">
        <v>2337</v>
      </c>
      <c r="F602" s="5" t="n">
        <f aca="false">VLOOKUP(D602,Lookup!$A$2:$B$4,2,FALSE())</f>
        <v>0.1</v>
      </c>
      <c r="G602" s="2" t="n">
        <f aca="false">ROUND(E602*F602,2)</f>
        <v>233.7</v>
      </c>
      <c r="H602" s="2" t="n">
        <f aca="false">E602+G602</f>
        <v>2570.7</v>
      </c>
      <c r="I602" s="3" t="s">
        <v>22</v>
      </c>
      <c r="J602" s="0" t="str">
        <f aca="false">_xlfn.XLOOKUP(C602,Departments!$A$2:$A$6,Departments!$B$2:$B$6,"Unknown")</f>
        <v>Finance</v>
      </c>
    </row>
    <row r="603" customFormat="false" ht="15" hidden="false" customHeight="false" outlineLevel="0" collapsed="false">
      <c r="A603" s="0" t="s">
        <v>630</v>
      </c>
      <c r="B603" s="4" t="n">
        <v>45895</v>
      </c>
      <c r="C603" s="0" t="s">
        <v>24</v>
      </c>
      <c r="D603" s="3" t="s">
        <v>25</v>
      </c>
      <c r="E603" s="2" t="n">
        <v>2374</v>
      </c>
      <c r="F603" s="5" t="n">
        <f aca="false">VLOOKUP(D603,Lookup!$A$2:$B$4,2,FALSE())</f>
        <v>0.15</v>
      </c>
      <c r="G603" s="2" t="n">
        <f aca="false">ROUND(E603*F603,2)</f>
        <v>356.1</v>
      </c>
      <c r="H603" s="2" t="n">
        <f aca="false">E603+G603</f>
        <v>2730.1</v>
      </c>
      <c r="I603" s="3" t="s">
        <v>35</v>
      </c>
      <c r="J603" s="0" t="str">
        <f aca="false">_xlfn.XLOOKUP(C603,Departments!$A$2:$A$6,Departments!$B$2:$B$6,"Unknown")</f>
        <v>Quality</v>
      </c>
    </row>
    <row r="604" customFormat="false" ht="15" hidden="false" customHeight="false" outlineLevel="0" collapsed="false">
      <c r="A604" s="0" t="s">
        <v>631</v>
      </c>
      <c r="B604" s="4" t="n">
        <v>45896</v>
      </c>
      <c r="C604" s="0" t="s">
        <v>27</v>
      </c>
      <c r="D604" s="3" t="s">
        <v>28</v>
      </c>
      <c r="E604" s="2" t="n">
        <v>2411</v>
      </c>
      <c r="F604" s="5" t="n">
        <f aca="false">VLOOKUP(D604,Lookup!$A$2:$B$4,2,FALSE())</f>
        <v>0.05</v>
      </c>
      <c r="G604" s="2" t="n">
        <f aca="false">ROUND(E604*F604,2)</f>
        <v>120.55</v>
      </c>
      <c r="H604" s="2" t="n">
        <f aca="false">E604+G604</f>
        <v>2531.55</v>
      </c>
      <c r="I604" s="3" t="s">
        <v>22</v>
      </c>
      <c r="J604" s="0" t="str">
        <f aca="false">_xlfn.XLOOKUP(C604,Departments!$A$2:$A$6,Departments!$B$2:$B$6,"Unknown")</f>
        <v>Human Resources</v>
      </c>
    </row>
    <row r="605" customFormat="false" ht="15" hidden="false" customHeight="false" outlineLevel="0" collapsed="false">
      <c r="A605" s="0" t="s">
        <v>632</v>
      </c>
      <c r="B605" s="4" t="n">
        <v>45897</v>
      </c>
      <c r="C605" s="0" t="s">
        <v>30</v>
      </c>
      <c r="D605" s="3" t="s">
        <v>21</v>
      </c>
      <c r="E605" s="2" t="n">
        <v>2448</v>
      </c>
      <c r="F605" s="5" t="n">
        <f aca="false">VLOOKUP(D605,Lookup!$A$2:$B$4,2,FALSE())</f>
        <v>0.1</v>
      </c>
      <c r="G605" s="2" t="n">
        <f aca="false">ROUND(E605*F605,2)</f>
        <v>244.8</v>
      </c>
      <c r="H605" s="2" t="n">
        <f aca="false">E605+G605</f>
        <v>2692.8</v>
      </c>
      <c r="I605" s="3" t="s">
        <v>22</v>
      </c>
      <c r="J605" s="0" t="str">
        <f aca="false">_xlfn.XLOOKUP(C605,Departments!$A$2:$A$6,Departments!$B$2:$B$6,"Unknown")</f>
        <v>Technology</v>
      </c>
    </row>
    <row r="606" customFormat="false" ht="15" hidden="false" customHeight="false" outlineLevel="0" collapsed="false">
      <c r="A606" s="0" t="s">
        <v>633</v>
      </c>
      <c r="B606" s="4" t="n">
        <v>45898</v>
      </c>
      <c r="C606" s="0" t="s">
        <v>32</v>
      </c>
      <c r="D606" s="3" t="s">
        <v>25</v>
      </c>
      <c r="E606" s="2" t="n">
        <v>2485</v>
      </c>
      <c r="F606" s="5" t="n">
        <f aca="false">VLOOKUP(D606,Lookup!$A$2:$B$4,2,FALSE())</f>
        <v>0.15</v>
      </c>
      <c r="G606" s="2" t="n">
        <f aca="false">ROUND(E606*F606,2)</f>
        <v>372.75</v>
      </c>
      <c r="H606" s="2" t="n">
        <f aca="false">E606+G606</f>
        <v>2857.75</v>
      </c>
      <c r="I606" s="3" t="s">
        <v>22</v>
      </c>
      <c r="J606" s="0" t="str">
        <f aca="false">_xlfn.XLOOKUP(C606,Departments!$A$2:$A$6,Departments!$B$2:$B$6,"Unknown")</f>
        <v>Operations</v>
      </c>
    </row>
    <row r="607" customFormat="false" ht="15" hidden="false" customHeight="false" outlineLevel="0" collapsed="false">
      <c r="A607" s="0" t="s">
        <v>634</v>
      </c>
      <c r="B607" s="4" t="n">
        <v>45899</v>
      </c>
      <c r="C607" s="0" t="s">
        <v>20</v>
      </c>
      <c r="D607" s="3" t="s">
        <v>28</v>
      </c>
      <c r="E607" s="2" t="n">
        <v>2522</v>
      </c>
      <c r="F607" s="5" t="n">
        <f aca="false">VLOOKUP(D607,Lookup!$A$2:$B$4,2,FALSE())</f>
        <v>0.05</v>
      </c>
      <c r="G607" s="2" t="n">
        <f aca="false">ROUND(E607*F607,2)</f>
        <v>126.1</v>
      </c>
      <c r="H607" s="2" t="n">
        <f aca="false">E607+G607</f>
        <v>2648.1</v>
      </c>
      <c r="I607" s="3" t="s">
        <v>22</v>
      </c>
      <c r="J607" s="0" t="str">
        <f aca="false">_xlfn.XLOOKUP(C607,Departments!$A$2:$A$6,Departments!$B$2:$B$6,"Unknown")</f>
        <v>Finance</v>
      </c>
    </row>
    <row r="608" customFormat="false" ht="15" hidden="false" customHeight="false" outlineLevel="0" collapsed="false">
      <c r="A608" s="0" t="s">
        <v>635</v>
      </c>
      <c r="B608" s="4" t="n">
        <v>45900</v>
      </c>
      <c r="C608" s="0" t="s">
        <v>24</v>
      </c>
      <c r="D608" s="3" t="s">
        <v>21</v>
      </c>
      <c r="E608" s="2" t="n">
        <v>2559</v>
      </c>
      <c r="F608" s="5" t="n">
        <f aca="false">VLOOKUP(D608,Lookup!$A$2:$B$4,2,FALSE())</f>
        <v>0.1</v>
      </c>
      <c r="G608" s="2" t="n">
        <f aca="false">ROUND(E608*F608,2)</f>
        <v>255.9</v>
      </c>
      <c r="H608" s="2" t="n">
        <f aca="false">E608+G608</f>
        <v>2814.9</v>
      </c>
      <c r="I608" s="3" t="s">
        <v>22</v>
      </c>
      <c r="J608" s="0" t="str">
        <f aca="false">_xlfn.XLOOKUP(C608,Departments!$A$2:$A$6,Departments!$B$2:$B$6,"Unknown")</f>
        <v>Quality</v>
      </c>
    </row>
    <row r="609" customFormat="false" ht="15" hidden="false" customHeight="false" outlineLevel="0" collapsed="false">
      <c r="A609" s="0" t="s">
        <v>636</v>
      </c>
      <c r="B609" s="4" t="n">
        <v>45901</v>
      </c>
      <c r="C609" s="0" t="s">
        <v>27</v>
      </c>
      <c r="D609" s="3" t="s">
        <v>25</v>
      </c>
      <c r="E609" s="2" t="n">
        <v>2596</v>
      </c>
      <c r="F609" s="5" t="n">
        <f aca="false">VLOOKUP(D609,Lookup!$A$2:$B$4,2,FALSE())</f>
        <v>0.15</v>
      </c>
      <c r="G609" s="2" t="n">
        <f aca="false">ROUND(E609*F609,2)</f>
        <v>389.4</v>
      </c>
      <c r="H609" s="2" t="n">
        <f aca="false">E609+G609</f>
        <v>2985.4</v>
      </c>
      <c r="I609" s="3" t="s">
        <v>22</v>
      </c>
      <c r="J609" s="0" t="str">
        <f aca="false">_xlfn.XLOOKUP(C609,Departments!$A$2:$A$6,Departments!$B$2:$B$6,"Unknown")</f>
        <v>Human Resources</v>
      </c>
    </row>
    <row r="610" customFormat="false" ht="15" hidden="false" customHeight="false" outlineLevel="0" collapsed="false">
      <c r="A610" s="0" t="s">
        <v>637</v>
      </c>
      <c r="B610" s="4" t="n">
        <v>45902</v>
      </c>
      <c r="C610" s="0" t="s">
        <v>30</v>
      </c>
      <c r="D610" s="3" t="s">
        <v>28</v>
      </c>
      <c r="E610" s="2" t="n">
        <v>2633</v>
      </c>
      <c r="F610" s="5" t="n">
        <f aca="false">VLOOKUP(D610,Lookup!$A$2:$B$4,2,FALSE())</f>
        <v>0.05</v>
      </c>
      <c r="G610" s="2" t="n">
        <f aca="false">ROUND(E610*F610,2)</f>
        <v>131.65</v>
      </c>
      <c r="H610" s="2" t="n">
        <f aca="false">E610+G610</f>
        <v>2764.65</v>
      </c>
      <c r="I610" s="3" t="s">
        <v>35</v>
      </c>
      <c r="J610" s="0" t="str">
        <f aca="false">_xlfn.XLOOKUP(C610,Departments!$A$2:$A$6,Departments!$B$2:$B$6,"Unknown")</f>
        <v>Technology</v>
      </c>
    </row>
    <row r="611" customFormat="false" ht="15" hidden="false" customHeight="false" outlineLevel="0" collapsed="false">
      <c r="A611" s="0" t="s">
        <v>638</v>
      </c>
      <c r="B611" s="4" t="n">
        <v>45903</v>
      </c>
      <c r="C611" s="0" t="s">
        <v>32</v>
      </c>
      <c r="D611" s="3" t="s">
        <v>21</v>
      </c>
      <c r="E611" s="2" t="n">
        <v>2670</v>
      </c>
      <c r="F611" s="5" t="n">
        <f aca="false">VLOOKUP(D611,Lookup!$A$2:$B$4,2,FALSE())</f>
        <v>0.1</v>
      </c>
      <c r="G611" s="2" t="n">
        <f aca="false">ROUND(E611*F611,2)</f>
        <v>267</v>
      </c>
      <c r="H611" s="2" t="n">
        <f aca="false">E611+G611</f>
        <v>2937</v>
      </c>
      <c r="I611" s="3" t="s">
        <v>22</v>
      </c>
      <c r="J611" s="0" t="str">
        <f aca="false">_xlfn.XLOOKUP(C611,Departments!$A$2:$A$6,Departments!$B$2:$B$6,"Unknown")</f>
        <v>Operations</v>
      </c>
    </row>
    <row r="612" customFormat="false" ht="15" hidden="false" customHeight="false" outlineLevel="0" collapsed="false">
      <c r="A612" s="0" t="s">
        <v>639</v>
      </c>
      <c r="B612" s="4" t="n">
        <v>45904</v>
      </c>
      <c r="C612" s="0" t="s">
        <v>20</v>
      </c>
      <c r="D612" s="3" t="s">
        <v>25</v>
      </c>
      <c r="E612" s="2" t="n">
        <v>2707</v>
      </c>
      <c r="F612" s="5" t="n">
        <f aca="false">VLOOKUP(D612,Lookup!$A$2:$B$4,2,FALSE())</f>
        <v>0.15</v>
      </c>
      <c r="G612" s="2" t="n">
        <f aca="false">ROUND(E612*F612,2)</f>
        <v>406.05</v>
      </c>
      <c r="H612" s="2" t="n">
        <f aca="false">E612+G612</f>
        <v>3113.05</v>
      </c>
      <c r="I612" s="3" t="s">
        <v>22</v>
      </c>
      <c r="J612" s="0" t="str">
        <f aca="false">_xlfn.XLOOKUP(C612,Departments!$A$2:$A$6,Departments!$B$2:$B$6,"Unknown")</f>
        <v>Finance</v>
      </c>
    </row>
    <row r="613" customFormat="false" ht="15" hidden="false" customHeight="false" outlineLevel="0" collapsed="false">
      <c r="A613" s="0" t="s">
        <v>640</v>
      </c>
      <c r="B613" s="4" t="n">
        <v>45905</v>
      </c>
      <c r="C613" s="0" t="s">
        <v>24</v>
      </c>
      <c r="D613" s="3" t="s">
        <v>28</v>
      </c>
      <c r="E613" s="2" t="n">
        <v>2744</v>
      </c>
      <c r="F613" s="5" t="n">
        <f aca="false">VLOOKUP(D613,Lookup!$A$2:$B$4,2,FALSE())</f>
        <v>0.05</v>
      </c>
      <c r="G613" s="2" t="n">
        <f aca="false">ROUND(E613*F613,2)</f>
        <v>137.2</v>
      </c>
      <c r="H613" s="2" t="n">
        <f aca="false">E613+G613</f>
        <v>2881.2</v>
      </c>
      <c r="I613" s="3" t="s">
        <v>22</v>
      </c>
      <c r="J613" s="0" t="str">
        <f aca="false">_xlfn.XLOOKUP(C613,Departments!$A$2:$A$6,Departments!$B$2:$B$6,"Unknown")</f>
        <v>Quality</v>
      </c>
    </row>
    <row r="614" customFormat="false" ht="15" hidden="false" customHeight="false" outlineLevel="0" collapsed="false">
      <c r="A614" s="0" t="s">
        <v>641</v>
      </c>
      <c r="B614" s="4" t="n">
        <v>45906</v>
      </c>
      <c r="C614" s="0" t="s">
        <v>27</v>
      </c>
      <c r="D614" s="3" t="s">
        <v>21</v>
      </c>
      <c r="E614" s="2" t="n">
        <v>2781</v>
      </c>
      <c r="F614" s="5" t="n">
        <f aca="false">VLOOKUP(D614,Lookup!$A$2:$B$4,2,FALSE())</f>
        <v>0.1</v>
      </c>
      <c r="G614" s="2" t="n">
        <f aca="false">ROUND(E614*F614,2)</f>
        <v>278.1</v>
      </c>
      <c r="H614" s="2" t="n">
        <f aca="false">E614+G614</f>
        <v>3059.1</v>
      </c>
      <c r="I614" s="3" t="s">
        <v>22</v>
      </c>
      <c r="J614" s="0" t="str">
        <f aca="false">_xlfn.XLOOKUP(C614,Departments!$A$2:$A$6,Departments!$B$2:$B$6,"Unknown")</f>
        <v>Human Resources</v>
      </c>
    </row>
    <row r="615" customFormat="false" ht="15" hidden="false" customHeight="false" outlineLevel="0" collapsed="false">
      <c r="A615" s="0" t="s">
        <v>642</v>
      </c>
      <c r="B615" s="4" t="n">
        <v>45907</v>
      </c>
      <c r="C615" s="0" t="s">
        <v>30</v>
      </c>
      <c r="D615" s="3" t="s">
        <v>25</v>
      </c>
      <c r="E615" s="2" t="n">
        <v>2818</v>
      </c>
      <c r="F615" s="5" t="n">
        <f aca="false">VLOOKUP(D615,Lookup!$A$2:$B$4,2,FALSE())</f>
        <v>0.15</v>
      </c>
      <c r="G615" s="2" t="n">
        <f aca="false">ROUND(E615*F615,2)</f>
        <v>422.7</v>
      </c>
      <c r="H615" s="2" t="n">
        <f aca="false">E615+G615</f>
        <v>3240.7</v>
      </c>
      <c r="I615" s="3" t="s">
        <v>22</v>
      </c>
      <c r="J615" s="0" t="str">
        <f aca="false">_xlfn.XLOOKUP(C615,Departments!$A$2:$A$6,Departments!$B$2:$B$6,"Unknown")</f>
        <v>Technology</v>
      </c>
    </row>
    <row r="616" customFormat="false" ht="15" hidden="false" customHeight="false" outlineLevel="0" collapsed="false">
      <c r="A616" s="0" t="s">
        <v>643</v>
      </c>
      <c r="B616" s="4" t="n">
        <v>45908</v>
      </c>
      <c r="C616" s="0" t="s">
        <v>32</v>
      </c>
      <c r="D616" s="3" t="s">
        <v>28</v>
      </c>
      <c r="E616" s="2" t="n">
        <v>2855</v>
      </c>
      <c r="F616" s="5" t="n">
        <f aca="false">VLOOKUP(D616,Lookup!$A$2:$B$4,2,FALSE())</f>
        <v>0.05</v>
      </c>
      <c r="G616" s="2" t="n">
        <f aca="false">ROUND(E616*F616,2)</f>
        <v>142.75</v>
      </c>
      <c r="H616" s="2" t="n">
        <f aca="false">E616+G616</f>
        <v>2997.75</v>
      </c>
      <c r="I616" s="3" t="s">
        <v>22</v>
      </c>
      <c r="J616" s="0" t="str">
        <f aca="false">_xlfn.XLOOKUP(C616,Departments!$A$2:$A$6,Departments!$B$2:$B$6,"Unknown")</f>
        <v>Operations</v>
      </c>
    </row>
    <row r="617" customFormat="false" ht="15" hidden="false" customHeight="false" outlineLevel="0" collapsed="false">
      <c r="A617" s="0" t="s">
        <v>644</v>
      </c>
      <c r="B617" s="4" t="n">
        <v>45909</v>
      </c>
      <c r="C617" s="0" t="s">
        <v>20</v>
      </c>
      <c r="D617" s="3" t="s">
        <v>21</v>
      </c>
      <c r="E617" s="2" t="n">
        <v>2892</v>
      </c>
      <c r="F617" s="5" t="n">
        <f aca="false">VLOOKUP(D617,Lookup!$A$2:$B$4,2,FALSE())</f>
        <v>0.1</v>
      </c>
      <c r="G617" s="2" t="n">
        <f aca="false">ROUND(E617*F617,2)</f>
        <v>289.2</v>
      </c>
      <c r="H617" s="2" t="n">
        <f aca="false">E617+G617</f>
        <v>3181.2</v>
      </c>
      <c r="I617" s="3" t="s">
        <v>35</v>
      </c>
      <c r="J617" s="0" t="str">
        <f aca="false">_xlfn.XLOOKUP(C617,Departments!$A$2:$A$6,Departments!$B$2:$B$6,"Unknown")</f>
        <v>Finance</v>
      </c>
    </row>
    <row r="618" customFormat="false" ht="15" hidden="false" customHeight="false" outlineLevel="0" collapsed="false">
      <c r="A618" s="0" t="s">
        <v>645</v>
      </c>
      <c r="B618" s="4" t="n">
        <v>45910</v>
      </c>
      <c r="C618" s="0" t="s">
        <v>24</v>
      </c>
      <c r="D618" s="3" t="s">
        <v>25</v>
      </c>
      <c r="E618" s="2" t="n">
        <v>2929</v>
      </c>
      <c r="F618" s="5" t="n">
        <f aca="false">VLOOKUP(D618,Lookup!$A$2:$B$4,2,FALSE())</f>
        <v>0.15</v>
      </c>
      <c r="G618" s="2" t="n">
        <f aca="false">ROUND(E618*F618,2)</f>
        <v>439.35</v>
      </c>
      <c r="H618" s="2" t="n">
        <f aca="false">E618+G618</f>
        <v>3368.35</v>
      </c>
      <c r="I618" s="3" t="s">
        <v>22</v>
      </c>
      <c r="J618" s="0" t="str">
        <f aca="false">_xlfn.XLOOKUP(C618,Departments!$A$2:$A$6,Departments!$B$2:$B$6,"Unknown")</f>
        <v>Quality</v>
      </c>
    </row>
    <row r="619" customFormat="false" ht="15" hidden="false" customHeight="false" outlineLevel="0" collapsed="false">
      <c r="A619" s="0" t="s">
        <v>646</v>
      </c>
      <c r="B619" s="4" t="n">
        <v>45911</v>
      </c>
      <c r="C619" s="0" t="s">
        <v>27</v>
      </c>
      <c r="D619" s="3" t="s">
        <v>28</v>
      </c>
      <c r="E619" s="2" t="n">
        <v>2966</v>
      </c>
      <c r="F619" s="5" t="n">
        <f aca="false">VLOOKUP(D619,Lookup!$A$2:$B$4,2,FALSE())</f>
        <v>0.05</v>
      </c>
      <c r="G619" s="2" t="n">
        <f aca="false">ROUND(E619*F619,2)</f>
        <v>148.3</v>
      </c>
      <c r="H619" s="2" t="n">
        <f aca="false">E619+G619</f>
        <v>3114.3</v>
      </c>
      <c r="I619" s="3" t="s">
        <v>22</v>
      </c>
      <c r="J619" s="0" t="str">
        <f aca="false">_xlfn.XLOOKUP(C619,Departments!$A$2:$A$6,Departments!$B$2:$B$6,"Unknown")</f>
        <v>Human Resources</v>
      </c>
    </row>
    <row r="620" customFormat="false" ht="15" hidden="false" customHeight="false" outlineLevel="0" collapsed="false">
      <c r="A620" s="0" t="s">
        <v>647</v>
      </c>
      <c r="B620" s="4" t="n">
        <v>45912</v>
      </c>
      <c r="C620" s="0" t="s">
        <v>30</v>
      </c>
      <c r="D620" s="3" t="s">
        <v>21</v>
      </c>
      <c r="E620" s="2" t="n">
        <v>3003</v>
      </c>
      <c r="F620" s="5" t="n">
        <f aca="false">VLOOKUP(D620,Lookup!$A$2:$B$4,2,FALSE())</f>
        <v>0.1</v>
      </c>
      <c r="G620" s="2" t="n">
        <f aca="false">ROUND(E620*F620,2)</f>
        <v>300.3</v>
      </c>
      <c r="H620" s="2" t="n">
        <f aca="false">E620+G620</f>
        <v>3303.3</v>
      </c>
      <c r="I620" s="3" t="s">
        <v>22</v>
      </c>
      <c r="J620" s="0" t="str">
        <f aca="false">_xlfn.XLOOKUP(C620,Departments!$A$2:$A$6,Departments!$B$2:$B$6,"Unknown")</f>
        <v>Technology</v>
      </c>
    </row>
    <row r="621" customFormat="false" ht="15" hidden="false" customHeight="false" outlineLevel="0" collapsed="false">
      <c r="A621" s="0" t="s">
        <v>648</v>
      </c>
      <c r="B621" s="4" t="n">
        <v>45913</v>
      </c>
      <c r="C621" s="0" t="s">
        <v>32</v>
      </c>
      <c r="D621" s="3" t="s">
        <v>25</v>
      </c>
      <c r="E621" s="2" t="n">
        <v>3040</v>
      </c>
      <c r="F621" s="5" t="n">
        <f aca="false">VLOOKUP(D621,Lookup!$A$2:$B$4,2,FALSE())</f>
        <v>0.15</v>
      </c>
      <c r="G621" s="2" t="n">
        <f aca="false">ROUND(E621*F621,2)</f>
        <v>456</v>
      </c>
      <c r="H621" s="2" t="n">
        <f aca="false">E621+G621</f>
        <v>3496</v>
      </c>
      <c r="I621" s="3" t="s">
        <v>22</v>
      </c>
      <c r="J621" s="0" t="str">
        <f aca="false">_xlfn.XLOOKUP(C621,Departments!$A$2:$A$6,Departments!$B$2:$B$6,"Unknown")</f>
        <v>Operations</v>
      </c>
    </row>
    <row r="622" customFormat="false" ht="15" hidden="false" customHeight="false" outlineLevel="0" collapsed="false">
      <c r="A622" s="0" t="s">
        <v>649</v>
      </c>
      <c r="B622" s="4" t="n">
        <v>45914</v>
      </c>
      <c r="C622" s="0" t="s">
        <v>20</v>
      </c>
      <c r="D622" s="3" t="s">
        <v>28</v>
      </c>
      <c r="E622" s="2" t="n">
        <v>3077</v>
      </c>
      <c r="F622" s="5" t="n">
        <f aca="false">VLOOKUP(D622,Lookup!$A$2:$B$4,2,FALSE())</f>
        <v>0.05</v>
      </c>
      <c r="G622" s="2" t="n">
        <f aca="false">ROUND(E622*F622,2)</f>
        <v>153.85</v>
      </c>
      <c r="H622" s="2" t="n">
        <f aca="false">E622+G622</f>
        <v>3230.85</v>
      </c>
      <c r="I622" s="3" t="s">
        <v>22</v>
      </c>
      <c r="J622" s="0" t="str">
        <f aca="false">_xlfn.XLOOKUP(C622,Departments!$A$2:$A$6,Departments!$B$2:$B$6,"Unknown")</f>
        <v>Finance</v>
      </c>
    </row>
    <row r="623" customFormat="false" ht="15" hidden="false" customHeight="false" outlineLevel="0" collapsed="false">
      <c r="A623" s="0" t="s">
        <v>650</v>
      </c>
      <c r="B623" s="4" t="n">
        <v>45915</v>
      </c>
      <c r="C623" s="0" t="s">
        <v>24</v>
      </c>
      <c r="D623" s="3" t="s">
        <v>21</v>
      </c>
      <c r="E623" s="2" t="n">
        <v>3114</v>
      </c>
      <c r="F623" s="5" t="n">
        <f aca="false">VLOOKUP(D623,Lookup!$A$2:$B$4,2,FALSE())</f>
        <v>0.1</v>
      </c>
      <c r="G623" s="2" t="n">
        <f aca="false">ROUND(E623*F623,2)</f>
        <v>311.4</v>
      </c>
      <c r="H623" s="2" t="n">
        <f aca="false">E623+G623</f>
        <v>3425.4</v>
      </c>
      <c r="I623" s="3" t="s">
        <v>22</v>
      </c>
      <c r="J623" s="0" t="str">
        <f aca="false">_xlfn.XLOOKUP(C623,Departments!$A$2:$A$6,Departments!$B$2:$B$6,"Unknown")</f>
        <v>Quality</v>
      </c>
    </row>
    <row r="624" customFormat="false" ht="15" hidden="false" customHeight="false" outlineLevel="0" collapsed="false">
      <c r="A624" s="0" t="s">
        <v>651</v>
      </c>
      <c r="B624" s="4" t="n">
        <v>45916</v>
      </c>
      <c r="C624" s="0" t="s">
        <v>27</v>
      </c>
      <c r="D624" s="3" t="s">
        <v>25</v>
      </c>
      <c r="E624" s="2" t="n">
        <v>3151</v>
      </c>
      <c r="F624" s="5" t="n">
        <f aca="false">VLOOKUP(D624,Lookup!$A$2:$B$4,2,FALSE())</f>
        <v>0.15</v>
      </c>
      <c r="G624" s="2" t="n">
        <f aca="false">ROUND(E624*F624,2)</f>
        <v>472.65</v>
      </c>
      <c r="H624" s="2" t="n">
        <f aca="false">E624+G624</f>
        <v>3623.65</v>
      </c>
      <c r="I624" s="3" t="s">
        <v>35</v>
      </c>
      <c r="J624" s="0" t="str">
        <f aca="false">_xlfn.XLOOKUP(C624,Departments!$A$2:$A$6,Departments!$B$2:$B$6,"Unknown")</f>
        <v>Human Resources</v>
      </c>
    </row>
    <row r="625" customFormat="false" ht="15" hidden="false" customHeight="false" outlineLevel="0" collapsed="false">
      <c r="A625" s="0" t="s">
        <v>652</v>
      </c>
      <c r="B625" s="4" t="n">
        <v>45917</v>
      </c>
      <c r="C625" s="0" t="s">
        <v>30</v>
      </c>
      <c r="D625" s="3" t="s">
        <v>28</v>
      </c>
      <c r="E625" s="2" t="n">
        <v>3188</v>
      </c>
      <c r="F625" s="5" t="n">
        <f aca="false">VLOOKUP(D625,Lookup!$A$2:$B$4,2,FALSE())</f>
        <v>0.05</v>
      </c>
      <c r="G625" s="2" t="n">
        <f aca="false">ROUND(E625*F625,2)</f>
        <v>159.4</v>
      </c>
      <c r="H625" s="2" t="n">
        <f aca="false">E625+G625</f>
        <v>3347.4</v>
      </c>
      <c r="I625" s="3" t="s">
        <v>22</v>
      </c>
      <c r="J625" s="0" t="str">
        <f aca="false">_xlfn.XLOOKUP(C625,Departments!$A$2:$A$6,Departments!$B$2:$B$6,"Unknown")</f>
        <v>Technology</v>
      </c>
    </row>
    <row r="626" customFormat="false" ht="15" hidden="false" customHeight="false" outlineLevel="0" collapsed="false">
      <c r="A626" s="0" t="s">
        <v>653</v>
      </c>
      <c r="B626" s="4" t="n">
        <v>45918</v>
      </c>
      <c r="C626" s="0" t="s">
        <v>32</v>
      </c>
      <c r="D626" s="3" t="s">
        <v>21</v>
      </c>
      <c r="E626" s="2" t="n">
        <v>3225</v>
      </c>
      <c r="F626" s="5" t="n">
        <f aca="false">VLOOKUP(D626,Lookup!$A$2:$B$4,2,FALSE())</f>
        <v>0.1</v>
      </c>
      <c r="G626" s="2" t="n">
        <f aca="false">ROUND(E626*F626,2)</f>
        <v>322.5</v>
      </c>
      <c r="H626" s="2" t="n">
        <f aca="false">E626+G626</f>
        <v>3547.5</v>
      </c>
      <c r="I626" s="3" t="s">
        <v>22</v>
      </c>
      <c r="J626" s="0" t="str">
        <f aca="false">_xlfn.XLOOKUP(C626,Departments!$A$2:$A$6,Departments!$B$2:$B$6,"Unknown")</f>
        <v>Operations</v>
      </c>
    </row>
    <row r="627" customFormat="false" ht="15" hidden="false" customHeight="false" outlineLevel="0" collapsed="false">
      <c r="A627" s="0" t="s">
        <v>654</v>
      </c>
      <c r="B627" s="4" t="n">
        <v>45919</v>
      </c>
      <c r="C627" s="0" t="s">
        <v>20</v>
      </c>
      <c r="D627" s="3" t="s">
        <v>25</v>
      </c>
      <c r="E627" s="2" t="n">
        <v>3262</v>
      </c>
      <c r="F627" s="5" t="n">
        <f aca="false">VLOOKUP(D627,Lookup!$A$2:$B$4,2,FALSE())</f>
        <v>0.15</v>
      </c>
      <c r="G627" s="2" t="n">
        <f aca="false">ROUND(E627*F627,2)</f>
        <v>489.3</v>
      </c>
      <c r="H627" s="2" t="n">
        <f aca="false">E627+G627</f>
        <v>3751.3</v>
      </c>
      <c r="I627" s="3" t="s">
        <v>22</v>
      </c>
      <c r="J627" s="0" t="str">
        <f aca="false">_xlfn.XLOOKUP(C627,Departments!$A$2:$A$6,Departments!$B$2:$B$6,"Unknown")</f>
        <v>Finance</v>
      </c>
    </row>
    <row r="628" customFormat="false" ht="15" hidden="false" customHeight="false" outlineLevel="0" collapsed="false">
      <c r="A628" s="0" t="s">
        <v>655</v>
      </c>
      <c r="B628" s="4" t="n">
        <v>45920</v>
      </c>
      <c r="C628" s="0" t="s">
        <v>24</v>
      </c>
      <c r="D628" s="3" t="s">
        <v>28</v>
      </c>
      <c r="E628" s="2" t="n">
        <v>3299</v>
      </c>
      <c r="F628" s="5" t="n">
        <f aca="false">VLOOKUP(D628,Lookup!$A$2:$B$4,2,FALSE())</f>
        <v>0.05</v>
      </c>
      <c r="G628" s="2" t="n">
        <f aca="false">ROUND(E628*F628,2)</f>
        <v>164.95</v>
      </c>
      <c r="H628" s="2" t="n">
        <f aca="false">E628+G628</f>
        <v>3463.95</v>
      </c>
      <c r="I628" s="3" t="s">
        <v>22</v>
      </c>
      <c r="J628" s="0" t="str">
        <f aca="false">_xlfn.XLOOKUP(C628,Departments!$A$2:$A$6,Departments!$B$2:$B$6,"Unknown")</f>
        <v>Quality</v>
      </c>
    </row>
    <row r="629" customFormat="false" ht="15" hidden="false" customHeight="false" outlineLevel="0" collapsed="false">
      <c r="A629" s="0" t="s">
        <v>656</v>
      </c>
      <c r="B629" s="4" t="n">
        <v>45921</v>
      </c>
      <c r="C629" s="0" t="s">
        <v>27</v>
      </c>
      <c r="D629" s="3" t="s">
        <v>21</v>
      </c>
      <c r="E629" s="2" t="n">
        <v>3336</v>
      </c>
      <c r="F629" s="5" t="n">
        <f aca="false">VLOOKUP(D629,Lookup!$A$2:$B$4,2,FALSE())</f>
        <v>0.1</v>
      </c>
      <c r="G629" s="2" t="n">
        <f aca="false">ROUND(E629*F629,2)</f>
        <v>333.6</v>
      </c>
      <c r="H629" s="2" t="n">
        <f aca="false">E629+G629</f>
        <v>3669.6</v>
      </c>
      <c r="I629" s="3" t="s">
        <v>22</v>
      </c>
      <c r="J629" s="0" t="str">
        <f aca="false">_xlfn.XLOOKUP(C629,Departments!$A$2:$A$6,Departments!$B$2:$B$6,"Unknown")</f>
        <v>Human Resources</v>
      </c>
    </row>
    <row r="630" customFormat="false" ht="15" hidden="false" customHeight="false" outlineLevel="0" collapsed="false">
      <c r="A630" s="0" t="s">
        <v>657</v>
      </c>
      <c r="B630" s="4" t="n">
        <v>45922</v>
      </c>
      <c r="C630" s="0" t="s">
        <v>30</v>
      </c>
      <c r="D630" s="3" t="s">
        <v>25</v>
      </c>
      <c r="E630" s="2" t="n">
        <v>3373</v>
      </c>
      <c r="F630" s="5" t="n">
        <f aca="false">VLOOKUP(D630,Lookup!$A$2:$B$4,2,FALSE())</f>
        <v>0.15</v>
      </c>
      <c r="G630" s="2" t="n">
        <f aca="false">ROUND(E630*F630,2)</f>
        <v>505.95</v>
      </c>
      <c r="H630" s="2" t="n">
        <f aca="false">E630+G630</f>
        <v>3878.95</v>
      </c>
      <c r="I630" s="3" t="s">
        <v>22</v>
      </c>
      <c r="J630" s="0" t="str">
        <f aca="false">_xlfn.XLOOKUP(C630,Departments!$A$2:$A$6,Departments!$B$2:$B$6,"Unknown")</f>
        <v>Technology</v>
      </c>
    </row>
    <row r="631" customFormat="false" ht="15" hidden="false" customHeight="false" outlineLevel="0" collapsed="false">
      <c r="A631" s="0" t="s">
        <v>658</v>
      </c>
      <c r="B631" s="4" t="n">
        <v>45923</v>
      </c>
      <c r="C631" s="0" t="s">
        <v>32</v>
      </c>
      <c r="D631" s="3" t="s">
        <v>28</v>
      </c>
      <c r="E631" s="2" t="n">
        <v>3410</v>
      </c>
      <c r="F631" s="5" t="n">
        <f aca="false">VLOOKUP(D631,Lookup!$A$2:$B$4,2,FALSE())</f>
        <v>0.05</v>
      </c>
      <c r="G631" s="2" t="n">
        <f aca="false">ROUND(E631*F631,2)</f>
        <v>170.5</v>
      </c>
      <c r="H631" s="2" t="n">
        <f aca="false">E631+G631</f>
        <v>3580.5</v>
      </c>
      <c r="I631" s="3" t="s">
        <v>35</v>
      </c>
      <c r="J631" s="0" t="str">
        <f aca="false">_xlfn.XLOOKUP(C631,Departments!$A$2:$A$6,Departments!$B$2:$B$6,"Unknown")</f>
        <v>Operations</v>
      </c>
    </row>
    <row r="632" customFormat="false" ht="15" hidden="false" customHeight="false" outlineLevel="0" collapsed="false">
      <c r="A632" s="0" t="s">
        <v>659</v>
      </c>
      <c r="B632" s="4" t="n">
        <v>45924</v>
      </c>
      <c r="C632" s="0" t="s">
        <v>20</v>
      </c>
      <c r="D632" s="3" t="s">
        <v>21</v>
      </c>
      <c r="E632" s="2" t="n">
        <v>3447</v>
      </c>
      <c r="F632" s="5" t="n">
        <f aca="false">VLOOKUP(D632,Lookup!$A$2:$B$4,2,FALSE())</f>
        <v>0.1</v>
      </c>
      <c r="G632" s="2" t="n">
        <f aca="false">ROUND(E632*F632,2)</f>
        <v>344.7</v>
      </c>
      <c r="H632" s="2" t="n">
        <f aca="false">E632+G632</f>
        <v>3791.7</v>
      </c>
      <c r="I632" s="3" t="s">
        <v>22</v>
      </c>
      <c r="J632" s="0" t="str">
        <f aca="false">_xlfn.XLOOKUP(C632,Departments!$A$2:$A$6,Departments!$B$2:$B$6,"Unknown")</f>
        <v>Finance</v>
      </c>
    </row>
    <row r="633" customFormat="false" ht="15" hidden="false" customHeight="false" outlineLevel="0" collapsed="false">
      <c r="A633" s="0" t="s">
        <v>660</v>
      </c>
      <c r="B633" s="4" t="n">
        <v>45925</v>
      </c>
      <c r="C633" s="0" t="s">
        <v>24</v>
      </c>
      <c r="D633" s="3" t="s">
        <v>25</v>
      </c>
      <c r="E633" s="2" t="n">
        <v>3484</v>
      </c>
      <c r="F633" s="5" t="n">
        <f aca="false">VLOOKUP(D633,Lookup!$A$2:$B$4,2,FALSE())</f>
        <v>0.15</v>
      </c>
      <c r="G633" s="2" t="n">
        <f aca="false">ROUND(E633*F633,2)</f>
        <v>522.6</v>
      </c>
      <c r="H633" s="2" t="n">
        <f aca="false">E633+G633</f>
        <v>4006.6</v>
      </c>
      <c r="I633" s="3" t="s">
        <v>22</v>
      </c>
      <c r="J633" s="0" t="str">
        <f aca="false">_xlfn.XLOOKUP(C633,Departments!$A$2:$A$6,Departments!$B$2:$B$6,"Unknown")</f>
        <v>Quality</v>
      </c>
    </row>
    <row r="634" customFormat="false" ht="15" hidden="false" customHeight="false" outlineLevel="0" collapsed="false">
      <c r="A634" s="0" t="s">
        <v>661</v>
      </c>
      <c r="B634" s="4" t="n">
        <v>45926</v>
      </c>
      <c r="C634" s="0" t="s">
        <v>27</v>
      </c>
      <c r="D634" s="3" t="s">
        <v>28</v>
      </c>
      <c r="E634" s="2" t="n">
        <v>3521</v>
      </c>
      <c r="F634" s="5" t="n">
        <f aca="false">VLOOKUP(D634,Lookup!$A$2:$B$4,2,FALSE())</f>
        <v>0.05</v>
      </c>
      <c r="G634" s="2" t="n">
        <f aca="false">ROUND(E634*F634,2)</f>
        <v>176.05</v>
      </c>
      <c r="H634" s="2" t="n">
        <f aca="false">E634+G634</f>
        <v>3697.05</v>
      </c>
      <c r="I634" s="3" t="s">
        <v>22</v>
      </c>
      <c r="J634" s="0" t="str">
        <f aca="false">_xlfn.XLOOKUP(C634,Departments!$A$2:$A$6,Departments!$B$2:$B$6,"Unknown")</f>
        <v>Human Resources</v>
      </c>
    </row>
    <row r="635" customFormat="false" ht="15" hidden="false" customHeight="false" outlineLevel="0" collapsed="false">
      <c r="A635" s="0" t="s">
        <v>662</v>
      </c>
      <c r="B635" s="4" t="n">
        <v>45927</v>
      </c>
      <c r="C635" s="0" t="s">
        <v>30</v>
      </c>
      <c r="D635" s="3" t="s">
        <v>21</v>
      </c>
      <c r="E635" s="2" t="n">
        <v>3558</v>
      </c>
      <c r="F635" s="5" t="n">
        <f aca="false">VLOOKUP(D635,Lookup!$A$2:$B$4,2,FALSE())</f>
        <v>0.1</v>
      </c>
      <c r="G635" s="2" t="n">
        <f aca="false">ROUND(E635*F635,2)</f>
        <v>355.8</v>
      </c>
      <c r="H635" s="2" t="n">
        <f aca="false">E635+G635</f>
        <v>3913.8</v>
      </c>
      <c r="I635" s="3" t="s">
        <v>22</v>
      </c>
      <c r="J635" s="0" t="str">
        <f aca="false">_xlfn.XLOOKUP(C635,Departments!$A$2:$A$6,Departments!$B$2:$B$6,"Unknown")</f>
        <v>Technology</v>
      </c>
    </row>
    <row r="636" customFormat="false" ht="15" hidden="false" customHeight="false" outlineLevel="0" collapsed="false">
      <c r="A636" s="0" t="s">
        <v>663</v>
      </c>
      <c r="B636" s="4" t="n">
        <v>45928</v>
      </c>
      <c r="C636" s="0" t="s">
        <v>32</v>
      </c>
      <c r="D636" s="3" t="s">
        <v>25</v>
      </c>
      <c r="E636" s="2" t="n">
        <v>3595</v>
      </c>
      <c r="F636" s="5" t="n">
        <f aca="false">VLOOKUP(D636,Lookup!$A$2:$B$4,2,FALSE())</f>
        <v>0.15</v>
      </c>
      <c r="G636" s="2" t="n">
        <f aca="false">ROUND(E636*F636,2)</f>
        <v>539.25</v>
      </c>
      <c r="H636" s="2" t="n">
        <f aca="false">E636+G636</f>
        <v>4134.25</v>
      </c>
      <c r="I636" s="3" t="s">
        <v>22</v>
      </c>
      <c r="J636" s="0" t="str">
        <f aca="false">_xlfn.XLOOKUP(C636,Departments!$A$2:$A$6,Departments!$B$2:$B$6,"Unknown")</f>
        <v>Operations</v>
      </c>
    </row>
    <row r="637" customFormat="false" ht="15" hidden="false" customHeight="false" outlineLevel="0" collapsed="false">
      <c r="A637" s="0" t="s">
        <v>664</v>
      </c>
      <c r="B637" s="4" t="n">
        <v>45929</v>
      </c>
      <c r="C637" s="0" t="s">
        <v>20</v>
      </c>
      <c r="D637" s="3" t="s">
        <v>28</v>
      </c>
      <c r="E637" s="2" t="n">
        <v>3632</v>
      </c>
      <c r="F637" s="5" t="n">
        <f aca="false">VLOOKUP(D637,Lookup!$A$2:$B$4,2,FALSE())</f>
        <v>0.05</v>
      </c>
      <c r="G637" s="2" t="n">
        <f aca="false">ROUND(E637*F637,2)</f>
        <v>181.6</v>
      </c>
      <c r="H637" s="2" t="n">
        <f aca="false">E637+G637</f>
        <v>3813.6</v>
      </c>
      <c r="I637" s="3" t="s">
        <v>22</v>
      </c>
      <c r="J637" s="0" t="str">
        <f aca="false">_xlfn.XLOOKUP(C637,Departments!$A$2:$A$6,Departments!$B$2:$B$6,"Unknown")</f>
        <v>Finance</v>
      </c>
    </row>
    <row r="638" customFormat="false" ht="15" hidden="false" customHeight="false" outlineLevel="0" collapsed="false">
      <c r="A638" s="0" t="s">
        <v>665</v>
      </c>
      <c r="B638" s="4" t="n">
        <v>45930</v>
      </c>
      <c r="C638" s="0" t="s">
        <v>24</v>
      </c>
      <c r="D638" s="3" t="s">
        <v>21</v>
      </c>
      <c r="E638" s="2" t="n">
        <v>3669</v>
      </c>
      <c r="F638" s="5" t="n">
        <f aca="false">VLOOKUP(D638,Lookup!$A$2:$B$4,2,FALSE())</f>
        <v>0.1</v>
      </c>
      <c r="G638" s="2" t="n">
        <f aca="false">ROUND(E638*F638,2)</f>
        <v>366.9</v>
      </c>
      <c r="H638" s="2" t="n">
        <f aca="false">E638+G638</f>
        <v>4035.9</v>
      </c>
      <c r="I638" s="3" t="s">
        <v>35</v>
      </c>
      <c r="J638" s="0" t="str">
        <f aca="false">_xlfn.XLOOKUP(C638,Departments!$A$2:$A$6,Departments!$B$2:$B$6,"Unknown")</f>
        <v>Quality</v>
      </c>
    </row>
    <row r="639" customFormat="false" ht="15" hidden="false" customHeight="false" outlineLevel="0" collapsed="false">
      <c r="A639" s="0" t="s">
        <v>666</v>
      </c>
      <c r="B639" s="4" t="n">
        <v>45931</v>
      </c>
      <c r="C639" s="0" t="s">
        <v>27</v>
      </c>
      <c r="D639" s="3" t="s">
        <v>25</v>
      </c>
      <c r="E639" s="2" t="n">
        <v>3706</v>
      </c>
      <c r="F639" s="5" t="n">
        <f aca="false">VLOOKUP(D639,Lookup!$A$2:$B$4,2,FALSE())</f>
        <v>0.15</v>
      </c>
      <c r="G639" s="2" t="n">
        <f aca="false">ROUND(E639*F639,2)</f>
        <v>555.9</v>
      </c>
      <c r="H639" s="2" t="n">
        <f aca="false">E639+G639</f>
        <v>4261.9</v>
      </c>
      <c r="I639" s="3" t="s">
        <v>22</v>
      </c>
      <c r="J639" s="0" t="str">
        <f aca="false">_xlfn.XLOOKUP(C639,Departments!$A$2:$A$6,Departments!$B$2:$B$6,"Unknown")</f>
        <v>Human Resources</v>
      </c>
    </row>
    <row r="640" customFormat="false" ht="15" hidden="false" customHeight="false" outlineLevel="0" collapsed="false">
      <c r="A640" s="0" t="s">
        <v>667</v>
      </c>
      <c r="B640" s="4" t="n">
        <v>45932</v>
      </c>
      <c r="C640" s="0" t="s">
        <v>30</v>
      </c>
      <c r="D640" s="3" t="s">
        <v>28</v>
      </c>
      <c r="E640" s="2" t="n">
        <v>3743</v>
      </c>
      <c r="F640" s="5" t="n">
        <f aca="false">VLOOKUP(D640,Lookup!$A$2:$B$4,2,FALSE())</f>
        <v>0.05</v>
      </c>
      <c r="G640" s="2" t="n">
        <f aca="false">ROUND(E640*F640,2)</f>
        <v>187.15</v>
      </c>
      <c r="H640" s="2" t="n">
        <f aca="false">E640+G640</f>
        <v>3930.15</v>
      </c>
      <c r="I640" s="3" t="s">
        <v>22</v>
      </c>
      <c r="J640" s="0" t="str">
        <f aca="false">_xlfn.XLOOKUP(C640,Departments!$A$2:$A$6,Departments!$B$2:$B$6,"Unknown")</f>
        <v>Technology</v>
      </c>
    </row>
    <row r="641" customFormat="false" ht="15" hidden="false" customHeight="false" outlineLevel="0" collapsed="false">
      <c r="A641" s="0" t="s">
        <v>668</v>
      </c>
      <c r="B641" s="4" t="n">
        <v>45933</v>
      </c>
      <c r="C641" s="0" t="s">
        <v>32</v>
      </c>
      <c r="D641" s="3" t="s">
        <v>21</v>
      </c>
      <c r="E641" s="2" t="n">
        <v>3780</v>
      </c>
      <c r="F641" s="5" t="n">
        <f aca="false">VLOOKUP(D641,Lookup!$A$2:$B$4,2,FALSE())</f>
        <v>0.1</v>
      </c>
      <c r="G641" s="2" t="n">
        <f aca="false">ROUND(E641*F641,2)</f>
        <v>378</v>
      </c>
      <c r="H641" s="2" t="n">
        <f aca="false">E641+G641</f>
        <v>4158</v>
      </c>
      <c r="I641" s="3" t="s">
        <v>22</v>
      </c>
      <c r="J641" s="0" t="str">
        <f aca="false">_xlfn.XLOOKUP(C641,Departments!$A$2:$A$6,Departments!$B$2:$B$6,"Unknown")</f>
        <v>Operations</v>
      </c>
    </row>
    <row r="642" customFormat="false" ht="15" hidden="false" customHeight="false" outlineLevel="0" collapsed="false">
      <c r="A642" s="0" t="s">
        <v>669</v>
      </c>
      <c r="B642" s="4" t="n">
        <v>45934</v>
      </c>
      <c r="C642" s="0" t="s">
        <v>20</v>
      </c>
      <c r="D642" s="3" t="s">
        <v>25</v>
      </c>
      <c r="E642" s="2" t="n">
        <v>3817</v>
      </c>
      <c r="F642" s="5" t="n">
        <f aca="false">VLOOKUP(D642,Lookup!$A$2:$B$4,2,FALSE())</f>
        <v>0.15</v>
      </c>
      <c r="G642" s="2" t="n">
        <f aca="false">ROUND(E642*F642,2)</f>
        <v>572.55</v>
      </c>
      <c r="H642" s="2" t="n">
        <f aca="false">E642+G642</f>
        <v>4389.55</v>
      </c>
      <c r="I642" s="3" t="s">
        <v>22</v>
      </c>
      <c r="J642" s="0" t="str">
        <f aca="false">_xlfn.XLOOKUP(C642,Departments!$A$2:$A$6,Departments!$B$2:$B$6,"Unknown")</f>
        <v>Finance</v>
      </c>
    </row>
    <row r="643" customFormat="false" ht="15" hidden="false" customHeight="false" outlineLevel="0" collapsed="false">
      <c r="A643" s="0" t="s">
        <v>670</v>
      </c>
      <c r="B643" s="4" t="n">
        <v>45935</v>
      </c>
      <c r="C643" s="0" t="s">
        <v>24</v>
      </c>
      <c r="D643" s="3" t="s">
        <v>28</v>
      </c>
      <c r="E643" s="2" t="n">
        <v>3854</v>
      </c>
      <c r="F643" s="5" t="n">
        <f aca="false">VLOOKUP(D643,Lookup!$A$2:$B$4,2,FALSE())</f>
        <v>0.05</v>
      </c>
      <c r="G643" s="2" t="n">
        <f aca="false">ROUND(E643*F643,2)</f>
        <v>192.7</v>
      </c>
      <c r="H643" s="2" t="n">
        <f aca="false">E643+G643</f>
        <v>4046.7</v>
      </c>
      <c r="I643" s="3" t="s">
        <v>22</v>
      </c>
      <c r="J643" s="0" t="str">
        <f aca="false">_xlfn.XLOOKUP(C643,Departments!$A$2:$A$6,Departments!$B$2:$B$6,"Unknown")</f>
        <v>Quality</v>
      </c>
    </row>
    <row r="644" customFormat="false" ht="15" hidden="false" customHeight="false" outlineLevel="0" collapsed="false">
      <c r="A644" s="0" t="s">
        <v>671</v>
      </c>
      <c r="B644" s="4" t="n">
        <v>45936</v>
      </c>
      <c r="C644" s="0" t="s">
        <v>27</v>
      </c>
      <c r="D644" s="3" t="s">
        <v>21</v>
      </c>
      <c r="E644" s="2" t="n">
        <v>3891</v>
      </c>
      <c r="F644" s="5" t="n">
        <f aca="false">VLOOKUP(D644,Lookup!$A$2:$B$4,2,FALSE())</f>
        <v>0.1</v>
      </c>
      <c r="G644" s="2" t="n">
        <f aca="false">ROUND(E644*F644,2)</f>
        <v>389.1</v>
      </c>
      <c r="H644" s="2" t="n">
        <f aca="false">E644+G644</f>
        <v>4280.1</v>
      </c>
      <c r="I644" s="3" t="s">
        <v>22</v>
      </c>
      <c r="J644" s="0" t="str">
        <f aca="false">_xlfn.XLOOKUP(C644,Departments!$A$2:$A$6,Departments!$B$2:$B$6,"Unknown")</f>
        <v>Human Resources</v>
      </c>
    </row>
    <row r="645" customFormat="false" ht="15" hidden="false" customHeight="false" outlineLevel="0" collapsed="false">
      <c r="A645" s="0" t="s">
        <v>672</v>
      </c>
      <c r="B645" s="4" t="n">
        <v>45937</v>
      </c>
      <c r="C645" s="0" t="s">
        <v>30</v>
      </c>
      <c r="D645" s="3" t="s">
        <v>25</v>
      </c>
      <c r="E645" s="2" t="n">
        <v>3928</v>
      </c>
      <c r="F645" s="5" t="n">
        <f aca="false">VLOOKUP(D645,Lookup!$A$2:$B$4,2,FALSE())</f>
        <v>0.15</v>
      </c>
      <c r="G645" s="2" t="n">
        <f aca="false">ROUND(E645*F645,2)</f>
        <v>589.2</v>
      </c>
      <c r="H645" s="2" t="n">
        <f aca="false">E645+G645</f>
        <v>4517.2</v>
      </c>
      <c r="I645" s="3" t="s">
        <v>35</v>
      </c>
      <c r="J645" s="0" t="str">
        <f aca="false">_xlfn.XLOOKUP(C645,Departments!$A$2:$A$6,Departments!$B$2:$B$6,"Unknown")</f>
        <v>Technology</v>
      </c>
    </row>
    <row r="646" customFormat="false" ht="15" hidden="false" customHeight="false" outlineLevel="0" collapsed="false">
      <c r="A646" s="0" t="s">
        <v>673</v>
      </c>
      <c r="B646" s="4" t="n">
        <v>45938</v>
      </c>
      <c r="C646" s="0" t="s">
        <v>32</v>
      </c>
      <c r="D646" s="3" t="s">
        <v>28</v>
      </c>
      <c r="E646" s="2" t="n">
        <v>3965</v>
      </c>
      <c r="F646" s="5" t="n">
        <f aca="false">VLOOKUP(D646,Lookup!$A$2:$B$4,2,FALSE())</f>
        <v>0.05</v>
      </c>
      <c r="G646" s="2" t="n">
        <f aca="false">ROUND(E646*F646,2)</f>
        <v>198.25</v>
      </c>
      <c r="H646" s="2" t="n">
        <f aca="false">E646+G646</f>
        <v>4163.25</v>
      </c>
      <c r="I646" s="3" t="s">
        <v>22</v>
      </c>
      <c r="J646" s="0" t="str">
        <f aca="false">_xlfn.XLOOKUP(C646,Departments!$A$2:$A$6,Departments!$B$2:$B$6,"Unknown")</f>
        <v>Operations</v>
      </c>
    </row>
    <row r="647" customFormat="false" ht="15" hidden="false" customHeight="false" outlineLevel="0" collapsed="false">
      <c r="A647" s="0" t="s">
        <v>674</v>
      </c>
      <c r="B647" s="4" t="n">
        <v>45939</v>
      </c>
      <c r="C647" s="0" t="s">
        <v>20</v>
      </c>
      <c r="D647" s="3" t="s">
        <v>21</v>
      </c>
      <c r="E647" s="2" t="n">
        <v>4002</v>
      </c>
      <c r="F647" s="5" t="n">
        <f aca="false">VLOOKUP(D647,Lookup!$A$2:$B$4,2,FALSE())</f>
        <v>0.1</v>
      </c>
      <c r="G647" s="2" t="n">
        <f aca="false">ROUND(E647*F647,2)</f>
        <v>400.2</v>
      </c>
      <c r="H647" s="2" t="n">
        <f aca="false">E647+G647</f>
        <v>4402.2</v>
      </c>
      <c r="I647" s="3" t="s">
        <v>22</v>
      </c>
      <c r="J647" s="0" t="str">
        <f aca="false">_xlfn.XLOOKUP(C647,Departments!$A$2:$A$6,Departments!$B$2:$B$6,"Unknown")</f>
        <v>Finance</v>
      </c>
    </row>
    <row r="648" customFormat="false" ht="15" hidden="false" customHeight="false" outlineLevel="0" collapsed="false">
      <c r="A648" s="0" t="s">
        <v>675</v>
      </c>
      <c r="B648" s="4" t="n">
        <v>45940</v>
      </c>
      <c r="C648" s="0" t="s">
        <v>24</v>
      </c>
      <c r="D648" s="3" t="s">
        <v>25</v>
      </c>
      <c r="E648" s="2" t="n">
        <v>4039</v>
      </c>
      <c r="F648" s="5" t="n">
        <f aca="false">VLOOKUP(D648,Lookup!$A$2:$B$4,2,FALSE())</f>
        <v>0.15</v>
      </c>
      <c r="G648" s="2" t="n">
        <f aca="false">ROUND(E648*F648,2)</f>
        <v>605.85</v>
      </c>
      <c r="H648" s="2" t="n">
        <f aca="false">E648+G648</f>
        <v>4644.85</v>
      </c>
      <c r="I648" s="3" t="s">
        <v>22</v>
      </c>
      <c r="J648" s="0" t="str">
        <f aca="false">_xlfn.XLOOKUP(C648,Departments!$A$2:$A$6,Departments!$B$2:$B$6,"Unknown")</f>
        <v>Quality</v>
      </c>
    </row>
    <row r="649" customFormat="false" ht="15" hidden="false" customHeight="false" outlineLevel="0" collapsed="false">
      <c r="A649" s="0" t="s">
        <v>676</v>
      </c>
      <c r="B649" s="4" t="n">
        <v>45941</v>
      </c>
      <c r="C649" s="0" t="s">
        <v>27</v>
      </c>
      <c r="D649" s="3" t="s">
        <v>28</v>
      </c>
      <c r="E649" s="2" t="n">
        <v>4076</v>
      </c>
      <c r="F649" s="5" t="n">
        <f aca="false">VLOOKUP(D649,Lookup!$A$2:$B$4,2,FALSE())</f>
        <v>0.05</v>
      </c>
      <c r="G649" s="2" t="n">
        <f aca="false">ROUND(E649*F649,2)</f>
        <v>203.8</v>
      </c>
      <c r="H649" s="2" t="n">
        <f aca="false">E649+G649</f>
        <v>4279.8</v>
      </c>
      <c r="I649" s="3" t="s">
        <v>22</v>
      </c>
      <c r="J649" s="0" t="str">
        <f aca="false">_xlfn.XLOOKUP(C649,Departments!$A$2:$A$6,Departments!$B$2:$B$6,"Unknown")</f>
        <v>Human Resources</v>
      </c>
    </row>
    <row r="650" customFormat="false" ht="15" hidden="false" customHeight="false" outlineLevel="0" collapsed="false">
      <c r="A650" s="0" t="s">
        <v>677</v>
      </c>
      <c r="B650" s="4" t="n">
        <v>45942</v>
      </c>
      <c r="C650" s="0" t="s">
        <v>30</v>
      </c>
      <c r="D650" s="3" t="s">
        <v>21</v>
      </c>
      <c r="E650" s="2" t="n">
        <v>4113</v>
      </c>
      <c r="F650" s="5" t="n">
        <f aca="false">VLOOKUP(D650,Lookup!$A$2:$B$4,2,FALSE())</f>
        <v>0.1</v>
      </c>
      <c r="G650" s="2" t="n">
        <f aca="false">ROUND(E650*F650,2)</f>
        <v>411.3</v>
      </c>
      <c r="H650" s="2" t="n">
        <f aca="false">E650+G650</f>
        <v>4524.3</v>
      </c>
      <c r="I650" s="3" t="s">
        <v>22</v>
      </c>
      <c r="J650" s="0" t="str">
        <f aca="false">_xlfn.XLOOKUP(C650,Departments!$A$2:$A$6,Departments!$B$2:$B$6,"Unknown")</f>
        <v>Technology</v>
      </c>
    </row>
    <row r="651" customFormat="false" ht="15" hidden="false" customHeight="false" outlineLevel="0" collapsed="false">
      <c r="A651" s="0" t="s">
        <v>678</v>
      </c>
      <c r="B651" s="4" t="n">
        <v>45943</v>
      </c>
      <c r="C651" s="0" t="s">
        <v>32</v>
      </c>
      <c r="D651" s="3" t="s">
        <v>25</v>
      </c>
      <c r="E651" s="2" t="n">
        <v>4150</v>
      </c>
      <c r="F651" s="5" t="n">
        <f aca="false">VLOOKUP(D651,Lookup!$A$2:$B$4,2,FALSE())</f>
        <v>0.15</v>
      </c>
      <c r="G651" s="2" t="n">
        <f aca="false">ROUND(E651*F651,2)</f>
        <v>622.5</v>
      </c>
      <c r="H651" s="2" t="n">
        <f aca="false">E651+G651</f>
        <v>4772.5</v>
      </c>
      <c r="I651" s="3" t="s">
        <v>22</v>
      </c>
      <c r="J651" s="0" t="str">
        <f aca="false">_xlfn.XLOOKUP(C651,Departments!$A$2:$A$6,Departments!$B$2:$B$6,"Unknown")</f>
        <v>Operations</v>
      </c>
    </row>
    <row r="652" customFormat="false" ht="15" hidden="false" customHeight="false" outlineLevel="0" collapsed="false">
      <c r="A652" s="0" t="s">
        <v>679</v>
      </c>
      <c r="B652" s="4" t="n">
        <v>45944</v>
      </c>
      <c r="C652" s="0" t="s">
        <v>20</v>
      </c>
      <c r="D652" s="3" t="s">
        <v>28</v>
      </c>
      <c r="E652" s="2" t="n">
        <v>4187</v>
      </c>
      <c r="F652" s="5" t="n">
        <f aca="false">VLOOKUP(D652,Lookup!$A$2:$B$4,2,FALSE())</f>
        <v>0.05</v>
      </c>
      <c r="G652" s="2" t="n">
        <f aca="false">ROUND(E652*F652,2)</f>
        <v>209.35</v>
      </c>
      <c r="H652" s="2" t="n">
        <f aca="false">E652+G652</f>
        <v>4396.35</v>
      </c>
      <c r="I652" s="3" t="s">
        <v>35</v>
      </c>
      <c r="J652" s="0" t="str">
        <f aca="false">_xlfn.XLOOKUP(C652,Departments!$A$2:$A$6,Departments!$B$2:$B$6,"Unknown")</f>
        <v>Finance</v>
      </c>
    </row>
    <row r="653" customFormat="false" ht="15" hidden="false" customHeight="false" outlineLevel="0" collapsed="false">
      <c r="A653" s="0" t="s">
        <v>680</v>
      </c>
      <c r="B653" s="4" t="n">
        <v>45945</v>
      </c>
      <c r="C653" s="0" t="s">
        <v>24</v>
      </c>
      <c r="D653" s="3" t="s">
        <v>21</v>
      </c>
      <c r="E653" s="2" t="n">
        <v>4224</v>
      </c>
      <c r="F653" s="5" t="n">
        <f aca="false">VLOOKUP(D653,Lookup!$A$2:$B$4,2,FALSE())</f>
        <v>0.1</v>
      </c>
      <c r="G653" s="2" t="n">
        <f aca="false">ROUND(E653*F653,2)</f>
        <v>422.4</v>
      </c>
      <c r="H653" s="2" t="n">
        <f aca="false">E653+G653</f>
        <v>4646.4</v>
      </c>
      <c r="I653" s="3" t="s">
        <v>22</v>
      </c>
      <c r="J653" s="0" t="str">
        <f aca="false">_xlfn.XLOOKUP(C653,Departments!$A$2:$A$6,Departments!$B$2:$B$6,"Unknown")</f>
        <v>Quality</v>
      </c>
    </row>
    <row r="654" customFormat="false" ht="15" hidden="false" customHeight="false" outlineLevel="0" collapsed="false">
      <c r="A654" s="0" t="s">
        <v>681</v>
      </c>
      <c r="B654" s="4" t="n">
        <v>45946</v>
      </c>
      <c r="C654" s="0" t="s">
        <v>27</v>
      </c>
      <c r="D654" s="3" t="s">
        <v>25</v>
      </c>
      <c r="E654" s="2" t="n">
        <v>4261</v>
      </c>
      <c r="F654" s="5" t="n">
        <f aca="false">VLOOKUP(D654,Lookup!$A$2:$B$4,2,FALSE())</f>
        <v>0.15</v>
      </c>
      <c r="G654" s="2" t="n">
        <f aca="false">ROUND(E654*F654,2)</f>
        <v>639.15</v>
      </c>
      <c r="H654" s="2" t="n">
        <f aca="false">E654+G654</f>
        <v>4900.15</v>
      </c>
      <c r="I654" s="3" t="s">
        <v>22</v>
      </c>
      <c r="J654" s="0" t="str">
        <f aca="false">_xlfn.XLOOKUP(C654,Departments!$A$2:$A$6,Departments!$B$2:$B$6,"Unknown")</f>
        <v>Human Resources</v>
      </c>
    </row>
    <row r="655" customFormat="false" ht="15" hidden="false" customHeight="false" outlineLevel="0" collapsed="false">
      <c r="A655" s="0" t="s">
        <v>682</v>
      </c>
      <c r="B655" s="4" t="n">
        <v>45947</v>
      </c>
      <c r="C655" s="0" t="s">
        <v>30</v>
      </c>
      <c r="D655" s="3" t="s">
        <v>28</v>
      </c>
      <c r="E655" s="2" t="n">
        <v>4298</v>
      </c>
      <c r="F655" s="5" t="n">
        <f aca="false">VLOOKUP(D655,Lookup!$A$2:$B$4,2,FALSE())</f>
        <v>0.05</v>
      </c>
      <c r="G655" s="2" t="n">
        <f aca="false">ROUND(E655*F655,2)</f>
        <v>214.9</v>
      </c>
      <c r="H655" s="2" t="n">
        <f aca="false">E655+G655</f>
        <v>4512.9</v>
      </c>
      <c r="I655" s="3" t="s">
        <v>22</v>
      </c>
      <c r="J655" s="0" t="str">
        <f aca="false">_xlfn.XLOOKUP(C655,Departments!$A$2:$A$6,Departments!$B$2:$B$6,"Unknown")</f>
        <v>Technology</v>
      </c>
    </row>
    <row r="656" customFormat="false" ht="15" hidden="false" customHeight="false" outlineLevel="0" collapsed="false">
      <c r="A656" s="0" t="s">
        <v>683</v>
      </c>
      <c r="B656" s="4" t="n">
        <v>45948</v>
      </c>
      <c r="C656" s="0" t="s">
        <v>32</v>
      </c>
      <c r="D656" s="3" t="s">
        <v>21</v>
      </c>
      <c r="E656" s="2" t="n">
        <v>4335</v>
      </c>
      <c r="F656" s="5" t="n">
        <f aca="false">VLOOKUP(D656,Lookup!$A$2:$B$4,2,FALSE())</f>
        <v>0.1</v>
      </c>
      <c r="G656" s="2" t="n">
        <f aca="false">ROUND(E656*F656,2)</f>
        <v>433.5</v>
      </c>
      <c r="H656" s="2" t="n">
        <f aca="false">E656+G656</f>
        <v>4768.5</v>
      </c>
      <c r="I656" s="3" t="s">
        <v>22</v>
      </c>
      <c r="J656" s="0" t="str">
        <f aca="false">_xlfn.XLOOKUP(C656,Departments!$A$2:$A$6,Departments!$B$2:$B$6,"Unknown")</f>
        <v>Operations</v>
      </c>
    </row>
    <row r="657" customFormat="false" ht="15" hidden="false" customHeight="false" outlineLevel="0" collapsed="false">
      <c r="A657" s="0" t="s">
        <v>684</v>
      </c>
      <c r="B657" s="4" t="n">
        <v>45949</v>
      </c>
      <c r="C657" s="0" t="s">
        <v>20</v>
      </c>
      <c r="D657" s="3" t="s">
        <v>25</v>
      </c>
      <c r="E657" s="2" t="n">
        <v>4372</v>
      </c>
      <c r="F657" s="5" t="n">
        <f aca="false">VLOOKUP(D657,Lookup!$A$2:$B$4,2,FALSE())</f>
        <v>0.15</v>
      </c>
      <c r="G657" s="2" t="n">
        <f aca="false">ROUND(E657*F657,2)</f>
        <v>655.8</v>
      </c>
      <c r="H657" s="2" t="n">
        <f aca="false">E657+G657</f>
        <v>5027.8</v>
      </c>
      <c r="I657" s="3" t="s">
        <v>22</v>
      </c>
      <c r="J657" s="0" t="str">
        <f aca="false">_xlfn.XLOOKUP(C657,Departments!$A$2:$A$6,Departments!$B$2:$B$6,"Unknown")</f>
        <v>Finance</v>
      </c>
    </row>
    <row r="658" customFormat="false" ht="15" hidden="false" customHeight="false" outlineLevel="0" collapsed="false">
      <c r="A658" s="0" t="s">
        <v>685</v>
      </c>
      <c r="B658" s="4" t="n">
        <v>45950</v>
      </c>
      <c r="C658" s="0" t="s">
        <v>24</v>
      </c>
      <c r="D658" s="3" t="s">
        <v>28</v>
      </c>
      <c r="E658" s="2" t="n">
        <v>4409</v>
      </c>
      <c r="F658" s="5" t="n">
        <f aca="false">VLOOKUP(D658,Lookup!$A$2:$B$4,2,FALSE())</f>
        <v>0.05</v>
      </c>
      <c r="G658" s="2" t="n">
        <f aca="false">ROUND(E658*F658,2)</f>
        <v>220.45</v>
      </c>
      <c r="H658" s="2" t="n">
        <f aca="false">E658+G658</f>
        <v>4629.45</v>
      </c>
      <c r="I658" s="3" t="s">
        <v>22</v>
      </c>
      <c r="J658" s="0" t="str">
        <f aca="false">_xlfn.XLOOKUP(C658,Departments!$A$2:$A$6,Departments!$B$2:$B$6,"Unknown")</f>
        <v>Quality</v>
      </c>
    </row>
    <row r="659" customFormat="false" ht="15" hidden="false" customHeight="false" outlineLevel="0" collapsed="false">
      <c r="A659" s="0" t="s">
        <v>686</v>
      </c>
      <c r="B659" s="4" t="n">
        <v>45951</v>
      </c>
      <c r="C659" s="0" t="s">
        <v>27</v>
      </c>
      <c r="D659" s="3" t="s">
        <v>21</v>
      </c>
      <c r="E659" s="2" t="n">
        <v>4446</v>
      </c>
      <c r="F659" s="5" t="n">
        <f aca="false">VLOOKUP(D659,Lookup!$A$2:$B$4,2,FALSE())</f>
        <v>0.1</v>
      </c>
      <c r="G659" s="2" t="n">
        <f aca="false">ROUND(E659*F659,2)</f>
        <v>444.6</v>
      </c>
      <c r="H659" s="2" t="n">
        <f aca="false">E659+G659</f>
        <v>4890.6</v>
      </c>
      <c r="I659" s="3" t="s">
        <v>35</v>
      </c>
      <c r="J659" s="0" t="str">
        <f aca="false">_xlfn.XLOOKUP(C659,Departments!$A$2:$A$6,Departments!$B$2:$B$6,"Unknown")</f>
        <v>Human Resources</v>
      </c>
    </row>
    <row r="660" customFormat="false" ht="15" hidden="false" customHeight="false" outlineLevel="0" collapsed="false">
      <c r="A660" s="0" t="s">
        <v>687</v>
      </c>
      <c r="B660" s="4" t="n">
        <v>45952</v>
      </c>
      <c r="C660" s="0" t="s">
        <v>30</v>
      </c>
      <c r="D660" s="3" t="s">
        <v>25</v>
      </c>
      <c r="E660" s="2" t="n">
        <v>4483</v>
      </c>
      <c r="F660" s="5" t="n">
        <f aca="false">VLOOKUP(D660,Lookup!$A$2:$B$4,2,FALSE())</f>
        <v>0.15</v>
      </c>
      <c r="G660" s="2" t="n">
        <f aca="false">ROUND(E660*F660,2)</f>
        <v>672.45</v>
      </c>
      <c r="H660" s="2" t="n">
        <f aca="false">E660+G660</f>
        <v>5155.45</v>
      </c>
      <c r="I660" s="3" t="s">
        <v>22</v>
      </c>
      <c r="J660" s="0" t="str">
        <f aca="false">_xlfn.XLOOKUP(C660,Departments!$A$2:$A$6,Departments!$B$2:$B$6,"Unknown")</f>
        <v>Technology</v>
      </c>
    </row>
    <row r="661" customFormat="false" ht="15" hidden="false" customHeight="false" outlineLevel="0" collapsed="false">
      <c r="A661" s="0" t="s">
        <v>688</v>
      </c>
      <c r="B661" s="4" t="n">
        <v>45953</v>
      </c>
      <c r="C661" s="0" t="s">
        <v>32</v>
      </c>
      <c r="D661" s="3" t="s">
        <v>28</v>
      </c>
      <c r="E661" s="2" t="n">
        <v>4520</v>
      </c>
      <c r="F661" s="5" t="n">
        <f aca="false">VLOOKUP(D661,Lookup!$A$2:$B$4,2,FALSE())</f>
        <v>0.05</v>
      </c>
      <c r="G661" s="2" t="n">
        <f aca="false">ROUND(E661*F661,2)</f>
        <v>226</v>
      </c>
      <c r="H661" s="2" t="n">
        <f aca="false">E661+G661</f>
        <v>4746</v>
      </c>
      <c r="I661" s="3" t="s">
        <v>22</v>
      </c>
      <c r="J661" s="0" t="str">
        <f aca="false">_xlfn.XLOOKUP(C661,Departments!$A$2:$A$6,Departments!$B$2:$B$6,"Unknown")</f>
        <v>Operations</v>
      </c>
    </row>
    <row r="662" customFormat="false" ht="15" hidden="false" customHeight="false" outlineLevel="0" collapsed="false">
      <c r="A662" s="0" t="s">
        <v>689</v>
      </c>
      <c r="B662" s="4" t="n">
        <v>45954</v>
      </c>
      <c r="C662" s="0" t="s">
        <v>20</v>
      </c>
      <c r="D662" s="3" t="s">
        <v>21</v>
      </c>
      <c r="E662" s="2" t="n">
        <v>4557</v>
      </c>
      <c r="F662" s="5" t="n">
        <f aca="false">VLOOKUP(D662,Lookup!$A$2:$B$4,2,FALSE())</f>
        <v>0.1</v>
      </c>
      <c r="G662" s="2" t="n">
        <f aca="false">ROUND(E662*F662,2)</f>
        <v>455.7</v>
      </c>
      <c r="H662" s="2" t="n">
        <f aca="false">E662+G662</f>
        <v>5012.7</v>
      </c>
      <c r="I662" s="3" t="s">
        <v>22</v>
      </c>
      <c r="J662" s="0" t="str">
        <f aca="false">_xlfn.XLOOKUP(C662,Departments!$A$2:$A$6,Departments!$B$2:$B$6,"Unknown")</f>
        <v>Finance</v>
      </c>
    </row>
    <row r="663" customFormat="false" ht="15" hidden="false" customHeight="false" outlineLevel="0" collapsed="false">
      <c r="A663" s="0" t="s">
        <v>690</v>
      </c>
      <c r="B663" s="4" t="n">
        <v>45955</v>
      </c>
      <c r="C663" s="0" t="s">
        <v>24</v>
      </c>
      <c r="D663" s="3" t="s">
        <v>25</v>
      </c>
      <c r="E663" s="2" t="n">
        <v>4594</v>
      </c>
      <c r="F663" s="5" t="n">
        <f aca="false">VLOOKUP(D663,Lookup!$A$2:$B$4,2,FALSE())</f>
        <v>0.15</v>
      </c>
      <c r="G663" s="2" t="n">
        <f aca="false">ROUND(E663*F663,2)</f>
        <v>689.1</v>
      </c>
      <c r="H663" s="2" t="n">
        <f aca="false">E663+G663</f>
        <v>5283.1</v>
      </c>
      <c r="I663" s="3" t="s">
        <v>22</v>
      </c>
      <c r="J663" s="0" t="str">
        <f aca="false">_xlfn.XLOOKUP(C663,Departments!$A$2:$A$6,Departments!$B$2:$B$6,"Unknown")</f>
        <v>Quality</v>
      </c>
    </row>
    <row r="664" customFormat="false" ht="15" hidden="false" customHeight="false" outlineLevel="0" collapsed="false">
      <c r="A664" s="0" t="s">
        <v>691</v>
      </c>
      <c r="B664" s="4" t="n">
        <v>45956</v>
      </c>
      <c r="C664" s="0" t="s">
        <v>27</v>
      </c>
      <c r="D664" s="3" t="s">
        <v>28</v>
      </c>
      <c r="E664" s="2" t="n">
        <v>4631</v>
      </c>
      <c r="F664" s="5" t="n">
        <f aca="false">VLOOKUP(D664,Lookup!$A$2:$B$4,2,FALSE())</f>
        <v>0.05</v>
      </c>
      <c r="G664" s="2" t="n">
        <f aca="false">ROUND(E664*F664,2)</f>
        <v>231.55</v>
      </c>
      <c r="H664" s="2" t="n">
        <f aca="false">E664+G664</f>
        <v>4862.55</v>
      </c>
      <c r="I664" s="3" t="s">
        <v>22</v>
      </c>
      <c r="J664" s="0" t="str">
        <f aca="false">_xlfn.XLOOKUP(C664,Departments!$A$2:$A$6,Departments!$B$2:$B$6,"Unknown")</f>
        <v>Human Resources</v>
      </c>
    </row>
    <row r="665" customFormat="false" ht="15" hidden="false" customHeight="false" outlineLevel="0" collapsed="false">
      <c r="A665" s="0" t="s">
        <v>692</v>
      </c>
      <c r="B665" s="4" t="n">
        <v>45957</v>
      </c>
      <c r="C665" s="0" t="s">
        <v>30</v>
      </c>
      <c r="D665" s="3" t="s">
        <v>21</v>
      </c>
      <c r="E665" s="2" t="n">
        <v>4668</v>
      </c>
      <c r="F665" s="5" t="n">
        <f aca="false">VLOOKUP(D665,Lookup!$A$2:$B$4,2,FALSE())</f>
        <v>0.1</v>
      </c>
      <c r="G665" s="2" t="n">
        <f aca="false">ROUND(E665*F665,2)</f>
        <v>466.8</v>
      </c>
      <c r="H665" s="2" t="n">
        <f aca="false">E665+G665</f>
        <v>5134.8</v>
      </c>
      <c r="I665" s="3" t="s">
        <v>22</v>
      </c>
      <c r="J665" s="0" t="str">
        <f aca="false">_xlfn.XLOOKUP(C665,Departments!$A$2:$A$6,Departments!$B$2:$B$6,"Unknown")</f>
        <v>Technology</v>
      </c>
    </row>
    <row r="666" customFormat="false" ht="15" hidden="false" customHeight="false" outlineLevel="0" collapsed="false">
      <c r="A666" s="0" t="s">
        <v>693</v>
      </c>
      <c r="B666" s="4" t="n">
        <v>45958</v>
      </c>
      <c r="C666" s="0" t="s">
        <v>32</v>
      </c>
      <c r="D666" s="3" t="s">
        <v>25</v>
      </c>
      <c r="E666" s="2" t="n">
        <v>4705</v>
      </c>
      <c r="F666" s="5" t="n">
        <f aca="false">VLOOKUP(D666,Lookup!$A$2:$B$4,2,FALSE())</f>
        <v>0.15</v>
      </c>
      <c r="G666" s="2" t="n">
        <f aca="false">ROUND(E666*F666,2)</f>
        <v>705.75</v>
      </c>
      <c r="H666" s="2" t="n">
        <f aca="false">E666+G666</f>
        <v>5410.75</v>
      </c>
      <c r="I666" s="3" t="s">
        <v>35</v>
      </c>
      <c r="J666" s="0" t="str">
        <f aca="false">_xlfn.XLOOKUP(C666,Departments!$A$2:$A$6,Departments!$B$2:$B$6,"Unknown")</f>
        <v>Operations</v>
      </c>
    </row>
    <row r="667" customFormat="false" ht="15" hidden="false" customHeight="false" outlineLevel="0" collapsed="false">
      <c r="A667" s="0" t="s">
        <v>694</v>
      </c>
      <c r="B667" s="4" t="n">
        <v>45959</v>
      </c>
      <c r="C667" s="0" t="s">
        <v>20</v>
      </c>
      <c r="D667" s="3" t="s">
        <v>28</v>
      </c>
      <c r="E667" s="2" t="n">
        <v>4742</v>
      </c>
      <c r="F667" s="5" t="n">
        <f aca="false">VLOOKUP(D667,Lookup!$A$2:$B$4,2,FALSE())</f>
        <v>0.05</v>
      </c>
      <c r="G667" s="2" t="n">
        <f aca="false">ROUND(E667*F667,2)</f>
        <v>237.1</v>
      </c>
      <c r="H667" s="2" t="n">
        <f aca="false">E667+G667</f>
        <v>4979.1</v>
      </c>
      <c r="I667" s="3" t="s">
        <v>22</v>
      </c>
      <c r="J667" s="0" t="str">
        <f aca="false">_xlfn.XLOOKUP(C667,Departments!$A$2:$A$6,Departments!$B$2:$B$6,"Unknown")</f>
        <v>Finance</v>
      </c>
    </row>
    <row r="668" customFormat="false" ht="15" hidden="false" customHeight="false" outlineLevel="0" collapsed="false">
      <c r="A668" s="0" t="s">
        <v>695</v>
      </c>
      <c r="B668" s="4" t="n">
        <v>45960</v>
      </c>
      <c r="C668" s="0" t="s">
        <v>24</v>
      </c>
      <c r="D668" s="3" t="s">
        <v>21</v>
      </c>
      <c r="E668" s="2" t="n">
        <v>4779</v>
      </c>
      <c r="F668" s="5" t="n">
        <f aca="false">VLOOKUP(D668,Lookup!$A$2:$B$4,2,FALSE())</f>
        <v>0.1</v>
      </c>
      <c r="G668" s="2" t="n">
        <f aca="false">ROUND(E668*F668,2)</f>
        <v>477.9</v>
      </c>
      <c r="H668" s="2" t="n">
        <f aca="false">E668+G668</f>
        <v>5256.9</v>
      </c>
      <c r="I668" s="3" t="s">
        <v>22</v>
      </c>
      <c r="J668" s="0" t="str">
        <f aca="false">_xlfn.XLOOKUP(C668,Departments!$A$2:$A$6,Departments!$B$2:$B$6,"Unknown")</f>
        <v>Quality</v>
      </c>
    </row>
    <row r="669" customFormat="false" ht="15" hidden="false" customHeight="false" outlineLevel="0" collapsed="false">
      <c r="A669" s="0" t="s">
        <v>696</v>
      </c>
      <c r="B669" s="4" t="n">
        <v>45961</v>
      </c>
      <c r="C669" s="0" t="s">
        <v>27</v>
      </c>
      <c r="D669" s="3" t="s">
        <v>25</v>
      </c>
      <c r="E669" s="2" t="n">
        <v>4816</v>
      </c>
      <c r="F669" s="5" t="n">
        <f aca="false">VLOOKUP(D669,Lookup!$A$2:$B$4,2,FALSE())</f>
        <v>0.15</v>
      </c>
      <c r="G669" s="2" t="n">
        <f aca="false">ROUND(E669*F669,2)</f>
        <v>722.4</v>
      </c>
      <c r="H669" s="2" t="n">
        <f aca="false">E669+G669</f>
        <v>5538.4</v>
      </c>
      <c r="I669" s="3" t="s">
        <v>22</v>
      </c>
      <c r="J669" s="0" t="str">
        <f aca="false">_xlfn.XLOOKUP(C669,Departments!$A$2:$A$6,Departments!$B$2:$B$6,"Unknown")</f>
        <v>Human Resources</v>
      </c>
    </row>
    <row r="670" customFormat="false" ht="15" hidden="false" customHeight="false" outlineLevel="0" collapsed="false">
      <c r="A670" s="0" t="s">
        <v>697</v>
      </c>
      <c r="B670" s="4" t="n">
        <v>45962</v>
      </c>
      <c r="C670" s="0" t="s">
        <v>30</v>
      </c>
      <c r="D670" s="3" t="s">
        <v>28</v>
      </c>
      <c r="E670" s="2" t="n">
        <v>4853</v>
      </c>
      <c r="F670" s="5" t="n">
        <f aca="false">VLOOKUP(D670,Lookup!$A$2:$B$4,2,FALSE())</f>
        <v>0.05</v>
      </c>
      <c r="G670" s="2" t="n">
        <f aca="false">ROUND(E670*F670,2)</f>
        <v>242.65</v>
      </c>
      <c r="H670" s="2" t="n">
        <f aca="false">E670+G670</f>
        <v>5095.65</v>
      </c>
      <c r="I670" s="3" t="s">
        <v>22</v>
      </c>
      <c r="J670" s="0" t="str">
        <f aca="false">_xlfn.XLOOKUP(C670,Departments!$A$2:$A$6,Departments!$B$2:$B$6,"Unknown")</f>
        <v>Technology</v>
      </c>
    </row>
    <row r="671" customFormat="false" ht="15" hidden="false" customHeight="false" outlineLevel="0" collapsed="false">
      <c r="A671" s="0" t="s">
        <v>698</v>
      </c>
      <c r="B671" s="4" t="n">
        <v>45963</v>
      </c>
      <c r="C671" s="0" t="s">
        <v>32</v>
      </c>
      <c r="D671" s="3" t="s">
        <v>21</v>
      </c>
      <c r="E671" s="2" t="n">
        <v>4890</v>
      </c>
      <c r="F671" s="5" t="n">
        <f aca="false">VLOOKUP(D671,Lookup!$A$2:$B$4,2,FALSE())</f>
        <v>0.1</v>
      </c>
      <c r="G671" s="2" t="n">
        <f aca="false">ROUND(E671*F671,2)</f>
        <v>489</v>
      </c>
      <c r="H671" s="2" t="n">
        <f aca="false">E671+G671</f>
        <v>5379</v>
      </c>
      <c r="I671" s="3" t="s">
        <v>22</v>
      </c>
      <c r="J671" s="0" t="str">
        <f aca="false">_xlfn.XLOOKUP(C671,Departments!$A$2:$A$6,Departments!$B$2:$B$6,"Unknown")</f>
        <v>Operations</v>
      </c>
    </row>
    <row r="672" customFormat="false" ht="15" hidden="false" customHeight="false" outlineLevel="0" collapsed="false">
      <c r="A672" s="0" t="s">
        <v>699</v>
      </c>
      <c r="B672" s="4" t="n">
        <v>45964</v>
      </c>
      <c r="C672" s="0" t="s">
        <v>20</v>
      </c>
      <c r="D672" s="3" t="s">
        <v>25</v>
      </c>
      <c r="E672" s="2" t="n">
        <v>4927</v>
      </c>
      <c r="F672" s="5" t="n">
        <f aca="false">VLOOKUP(D672,Lookup!$A$2:$B$4,2,FALSE())</f>
        <v>0.15</v>
      </c>
      <c r="G672" s="2" t="n">
        <f aca="false">ROUND(E672*F672,2)</f>
        <v>739.05</v>
      </c>
      <c r="H672" s="2" t="n">
        <f aca="false">E672+G672</f>
        <v>5666.05</v>
      </c>
      <c r="I672" s="3" t="s">
        <v>22</v>
      </c>
      <c r="J672" s="0" t="str">
        <f aca="false">_xlfn.XLOOKUP(C672,Departments!$A$2:$A$6,Departments!$B$2:$B$6,"Unknown")</f>
        <v>Finance</v>
      </c>
    </row>
    <row r="673" customFormat="false" ht="15" hidden="false" customHeight="false" outlineLevel="0" collapsed="false">
      <c r="A673" s="0" t="s">
        <v>700</v>
      </c>
      <c r="B673" s="4" t="n">
        <v>45965</v>
      </c>
      <c r="C673" s="0" t="s">
        <v>24</v>
      </c>
      <c r="D673" s="3" t="s">
        <v>28</v>
      </c>
      <c r="E673" s="2" t="n">
        <v>4964</v>
      </c>
      <c r="F673" s="5" t="n">
        <f aca="false">VLOOKUP(D673,Lookup!$A$2:$B$4,2,FALSE())</f>
        <v>0.05</v>
      </c>
      <c r="G673" s="2" t="n">
        <f aca="false">ROUND(E673*F673,2)</f>
        <v>248.2</v>
      </c>
      <c r="H673" s="2" t="n">
        <f aca="false">E673+G673</f>
        <v>5212.2</v>
      </c>
      <c r="I673" s="3" t="s">
        <v>35</v>
      </c>
      <c r="J673" s="0" t="str">
        <f aca="false">_xlfn.XLOOKUP(C673,Departments!$A$2:$A$6,Departments!$B$2:$B$6,"Unknown")</f>
        <v>Quality</v>
      </c>
    </row>
    <row r="674" customFormat="false" ht="15" hidden="false" customHeight="false" outlineLevel="0" collapsed="false">
      <c r="A674" s="0" t="s">
        <v>701</v>
      </c>
      <c r="B674" s="4" t="n">
        <v>45966</v>
      </c>
      <c r="C674" s="0" t="s">
        <v>27</v>
      </c>
      <c r="D674" s="3" t="s">
        <v>21</v>
      </c>
      <c r="E674" s="2" t="n">
        <v>5001</v>
      </c>
      <c r="F674" s="5" t="n">
        <f aca="false">VLOOKUP(D674,Lookup!$A$2:$B$4,2,FALSE())</f>
        <v>0.1</v>
      </c>
      <c r="G674" s="2" t="n">
        <f aca="false">ROUND(E674*F674,2)</f>
        <v>500.1</v>
      </c>
      <c r="H674" s="2" t="n">
        <f aca="false">E674+G674</f>
        <v>5501.1</v>
      </c>
      <c r="I674" s="3" t="s">
        <v>22</v>
      </c>
      <c r="J674" s="0" t="str">
        <f aca="false">_xlfn.XLOOKUP(C674,Departments!$A$2:$A$6,Departments!$B$2:$B$6,"Unknown")</f>
        <v>Human Resources</v>
      </c>
    </row>
    <row r="675" customFormat="false" ht="15" hidden="false" customHeight="false" outlineLevel="0" collapsed="false">
      <c r="A675" s="0" t="s">
        <v>702</v>
      </c>
      <c r="B675" s="4" t="n">
        <v>45967</v>
      </c>
      <c r="C675" s="0" t="s">
        <v>30</v>
      </c>
      <c r="D675" s="3" t="s">
        <v>25</v>
      </c>
      <c r="E675" s="2" t="n">
        <v>5038</v>
      </c>
      <c r="F675" s="5" t="n">
        <f aca="false">VLOOKUP(D675,Lookup!$A$2:$B$4,2,FALSE())</f>
        <v>0.15</v>
      </c>
      <c r="G675" s="2" t="n">
        <f aca="false">ROUND(E675*F675,2)</f>
        <v>755.7</v>
      </c>
      <c r="H675" s="2" t="n">
        <f aca="false">E675+G675</f>
        <v>5793.7</v>
      </c>
      <c r="I675" s="3" t="s">
        <v>22</v>
      </c>
      <c r="J675" s="0" t="str">
        <f aca="false">_xlfn.XLOOKUP(C675,Departments!$A$2:$A$6,Departments!$B$2:$B$6,"Unknown")</f>
        <v>Technology</v>
      </c>
    </row>
    <row r="676" customFormat="false" ht="15" hidden="false" customHeight="false" outlineLevel="0" collapsed="false">
      <c r="A676" s="0" t="s">
        <v>703</v>
      </c>
      <c r="B676" s="4" t="n">
        <v>45968</v>
      </c>
      <c r="C676" s="0" t="s">
        <v>32</v>
      </c>
      <c r="D676" s="3" t="s">
        <v>28</v>
      </c>
      <c r="E676" s="2" t="n">
        <v>5075</v>
      </c>
      <c r="F676" s="5" t="n">
        <f aca="false">VLOOKUP(D676,Lookup!$A$2:$B$4,2,FALSE())</f>
        <v>0.05</v>
      </c>
      <c r="G676" s="2" t="n">
        <f aca="false">ROUND(E676*F676,2)</f>
        <v>253.75</v>
      </c>
      <c r="H676" s="2" t="n">
        <f aca="false">E676+G676</f>
        <v>5328.75</v>
      </c>
      <c r="I676" s="3" t="s">
        <v>22</v>
      </c>
      <c r="J676" s="0" t="str">
        <f aca="false">_xlfn.XLOOKUP(C676,Departments!$A$2:$A$6,Departments!$B$2:$B$6,"Unknown")</f>
        <v>Operations</v>
      </c>
    </row>
    <row r="677" customFormat="false" ht="15" hidden="false" customHeight="false" outlineLevel="0" collapsed="false">
      <c r="A677" s="0" t="s">
        <v>704</v>
      </c>
      <c r="B677" s="4" t="n">
        <v>45969</v>
      </c>
      <c r="C677" s="0" t="s">
        <v>20</v>
      </c>
      <c r="D677" s="3" t="s">
        <v>21</v>
      </c>
      <c r="E677" s="2" t="n">
        <v>112</v>
      </c>
      <c r="F677" s="5" t="n">
        <f aca="false">VLOOKUP(D677,Lookup!$A$2:$B$4,2,FALSE())</f>
        <v>0.1</v>
      </c>
      <c r="G677" s="2" t="n">
        <f aca="false">ROUND(E677*F677,2)</f>
        <v>11.2</v>
      </c>
      <c r="H677" s="2" t="n">
        <f aca="false">E677+G677</f>
        <v>123.2</v>
      </c>
      <c r="I677" s="3" t="s">
        <v>22</v>
      </c>
      <c r="J677" s="0" t="str">
        <f aca="false">_xlfn.XLOOKUP(C677,Departments!$A$2:$A$6,Departments!$B$2:$B$6,"Unknown")</f>
        <v>Finance</v>
      </c>
    </row>
    <row r="678" customFormat="false" ht="15" hidden="false" customHeight="false" outlineLevel="0" collapsed="false">
      <c r="A678" s="0" t="s">
        <v>705</v>
      </c>
      <c r="B678" s="4" t="n">
        <v>45970</v>
      </c>
      <c r="C678" s="0" t="s">
        <v>24</v>
      </c>
      <c r="D678" s="3" t="s">
        <v>25</v>
      </c>
      <c r="E678" s="2" t="n">
        <v>149</v>
      </c>
      <c r="F678" s="5" t="n">
        <f aca="false">VLOOKUP(D678,Lookup!$A$2:$B$4,2,FALSE())</f>
        <v>0.15</v>
      </c>
      <c r="G678" s="2" t="n">
        <f aca="false">ROUND(E678*F678,2)</f>
        <v>22.35</v>
      </c>
      <c r="H678" s="2" t="n">
        <f aca="false">E678+G678</f>
        <v>171.35</v>
      </c>
      <c r="I678" s="3" t="s">
        <v>22</v>
      </c>
      <c r="J678" s="0" t="str">
        <f aca="false">_xlfn.XLOOKUP(C678,Departments!$A$2:$A$6,Departments!$B$2:$B$6,"Unknown")</f>
        <v>Quality</v>
      </c>
    </row>
    <row r="679" customFormat="false" ht="15" hidden="false" customHeight="false" outlineLevel="0" collapsed="false">
      <c r="A679" s="0" t="s">
        <v>706</v>
      </c>
      <c r="B679" s="4" t="n">
        <v>45971</v>
      </c>
      <c r="C679" s="0" t="s">
        <v>27</v>
      </c>
      <c r="D679" s="3" t="s">
        <v>28</v>
      </c>
      <c r="E679" s="2" t="n">
        <v>186</v>
      </c>
      <c r="F679" s="5" t="n">
        <f aca="false">VLOOKUP(D679,Lookup!$A$2:$B$4,2,FALSE())</f>
        <v>0.05</v>
      </c>
      <c r="G679" s="2" t="n">
        <f aca="false">ROUND(E679*F679,2)</f>
        <v>9.3</v>
      </c>
      <c r="H679" s="2" t="n">
        <f aca="false">E679+G679</f>
        <v>195.3</v>
      </c>
      <c r="I679" s="3" t="s">
        <v>22</v>
      </c>
      <c r="J679" s="0" t="str">
        <f aca="false">_xlfn.XLOOKUP(C679,Departments!$A$2:$A$6,Departments!$B$2:$B$6,"Unknown")</f>
        <v>Human Resources</v>
      </c>
    </row>
    <row r="680" customFormat="false" ht="15" hidden="false" customHeight="false" outlineLevel="0" collapsed="false">
      <c r="A680" s="0" t="s">
        <v>707</v>
      </c>
      <c r="B680" s="4" t="n">
        <v>45972</v>
      </c>
      <c r="C680" s="0" t="s">
        <v>30</v>
      </c>
      <c r="D680" s="3" t="s">
        <v>21</v>
      </c>
      <c r="E680" s="2" t="n">
        <v>223</v>
      </c>
      <c r="F680" s="5" t="n">
        <f aca="false">VLOOKUP(D680,Lookup!$A$2:$B$4,2,FALSE())</f>
        <v>0.1</v>
      </c>
      <c r="G680" s="2" t="n">
        <f aca="false">ROUND(E680*F680,2)</f>
        <v>22.3</v>
      </c>
      <c r="H680" s="2" t="n">
        <f aca="false">E680+G680</f>
        <v>245.3</v>
      </c>
      <c r="I680" s="3" t="s">
        <v>35</v>
      </c>
      <c r="J680" s="0" t="str">
        <f aca="false">_xlfn.XLOOKUP(C680,Departments!$A$2:$A$6,Departments!$B$2:$B$6,"Unknown")</f>
        <v>Technology</v>
      </c>
    </row>
    <row r="681" customFormat="false" ht="15" hidden="false" customHeight="false" outlineLevel="0" collapsed="false">
      <c r="A681" s="0" t="s">
        <v>708</v>
      </c>
      <c r="B681" s="4" t="n">
        <v>45973</v>
      </c>
      <c r="C681" s="0" t="s">
        <v>32</v>
      </c>
      <c r="D681" s="3" t="s">
        <v>25</v>
      </c>
      <c r="E681" s="2" t="n">
        <v>260</v>
      </c>
      <c r="F681" s="5" t="n">
        <f aca="false">VLOOKUP(D681,Lookup!$A$2:$B$4,2,FALSE())</f>
        <v>0.15</v>
      </c>
      <c r="G681" s="2" t="n">
        <f aca="false">ROUND(E681*F681,2)</f>
        <v>39</v>
      </c>
      <c r="H681" s="2" t="n">
        <f aca="false">E681+G681</f>
        <v>299</v>
      </c>
      <c r="I681" s="3" t="s">
        <v>22</v>
      </c>
      <c r="J681" s="0" t="str">
        <f aca="false">_xlfn.XLOOKUP(C681,Departments!$A$2:$A$6,Departments!$B$2:$B$6,"Unknown")</f>
        <v>Operations</v>
      </c>
    </row>
    <row r="682" customFormat="false" ht="15" hidden="false" customHeight="false" outlineLevel="0" collapsed="false">
      <c r="A682" s="0" t="s">
        <v>709</v>
      </c>
      <c r="B682" s="4" t="n">
        <v>45974</v>
      </c>
      <c r="C682" s="0" t="s">
        <v>20</v>
      </c>
      <c r="D682" s="3" t="s">
        <v>28</v>
      </c>
      <c r="E682" s="2" t="n">
        <v>297</v>
      </c>
      <c r="F682" s="5" t="n">
        <f aca="false">VLOOKUP(D682,Lookup!$A$2:$B$4,2,FALSE())</f>
        <v>0.05</v>
      </c>
      <c r="G682" s="2" t="n">
        <f aca="false">ROUND(E682*F682,2)</f>
        <v>14.85</v>
      </c>
      <c r="H682" s="2" t="n">
        <f aca="false">E682+G682</f>
        <v>311.85</v>
      </c>
      <c r="I682" s="3" t="s">
        <v>22</v>
      </c>
      <c r="J682" s="0" t="str">
        <f aca="false">_xlfn.XLOOKUP(C682,Departments!$A$2:$A$6,Departments!$B$2:$B$6,"Unknown")</f>
        <v>Finance</v>
      </c>
    </row>
    <row r="683" customFormat="false" ht="15" hidden="false" customHeight="false" outlineLevel="0" collapsed="false">
      <c r="A683" s="0" t="s">
        <v>710</v>
      </c>
      <c r="B683" s="4" t="n">
        <v>45975</v>
      </c>
      <c r="C683" s="0" t="s">
        <v>24</v>
      </c>
      <c r="D683" s="3" t="s">
        <v>21</v>
      </c>
      <c r="E683" s="2" t="n">
        <v>334</v>
      </c>
      <c r="F683" s="5" t="n">
        <f aca="false">VLOOKUP(D683,Lookup!$A$2:$B$4,2,FALSE())</f>
        <v>0.1</v>
      </c>
      <c r="G683" s="2" t="n">
        <f aca="false">ROUND(E683*F683,2)</f>
        <v>33.4</v>
      </c>
      <c r="H683" s="2" t="n">
        <f aca="false">E683+G683</f>
        <v>367.4</v>
      </c>
      <c r="I683" s="3" t="s">
        <v>22</v>
      </c>
      <c r="J683" s="0" t="str">
        <f aca="false">_xlfn.XLOOKUP(C683,Departments!$A$2:$A$6,Departments!$B$2:$B$6,"Unknown")</f>
        <v>Quality</v>
      </c>
    </row>
    <row r="684" customFormat="false" ht="15" hidden="false" customHeight="false" outlineLevel="0" collapsed="false">
      <c r="A684" s="0" t="s">
        <v>711</v>
      </c>
      <c r="B684" s="4" t="n">
        <v>45976</v>
      </c>
      <c r="C684" s="0" t="s">
        <v>27</v>
      </c>
      <c r="D684" s="3" t="s">
        <v>25</v>
      </c>
      <c r="E684" s="2" t="n">
        <v>371</v>
      </c>
      <c r="F684" s="5" t="n">
        <f aca="false">VLOOKUP(D684,Lookup!$A$2:$B$4,2,FALSE())</f>
        <v>0.15</v>
      </c>
      <c r="G684" s="2" t="n">
        <f aca="false">ROUND(E684*F684,2)</f>
        <v>55.65</v>
      </c>
      <c r="H684" s="2" t="n">
        <f aca="false">E684+G684</f>
        <v>426.65</v>
      </c>
      <c r="I684" s="3" t="s">
        <v>22</v>
      </c>
      <c r="J684" s="0" t="str">
        <f aca="false">_xlfn.XLOOKUP(C684,Departments!$A$2:$A$6,Departments!$B$2:$B$6,"Unknown")</f>
        <v>Human Resources</v>
      </c>
    </row>
    <row r="685" customFormat="false" ht="15" hidden="false" customHeight="false" outlineLevel="0" collapsed="false">
      <c r="A685" s="0" t="s">
        <v>712</v>
      </c>
      <c r="B685" s="4" t="n">
        <v>45977</v>
      </c>
      <c r="C685" s="0" t="s">
        <v>30</v>
      </c>
      <c r="D685" s="3" t="s">
        <v>28</v>
      </c>
      <c r="E685" s="2" t="n">
        <v>408</v>
      </c>
      <c r="F685" s="5" t="n">
        <f aca="false">VLOOKUP(D685,Lookup!$A$2:$B$4,2,FALSE())</f>
        <v>0.05</v>
      </c>
      <c r="G685" s="2" t="n">
        <f aca="false">ROUND(E685*F685,2)</f>
        <v>20.4</v>
      </c>
      <c r="H685" s="2" t="n">
        <f aca="false">E685+G685</f>
        <v>428.4</v>
      </c>
      <c r="I685" s="3" t="s">
        <v>22</v>
      </c>
      <c r="J685" s="0" t="str">
        <f aca="false">_xlfn.XLOOKUP(C685,Departments!$A$2:$A$6,Departments!$B$2:$B$6,"Unknown")</f>
        <v>Technology</v>
      </c>
    </row>
    <row r="686" customFormat="false" ht="15" hidden="false" customHeight="false" outlineLevel="0" collapsed="false">
      <c r="A686" s="0" t="s">
        <v>713</v>
      </c>
      <c r="B686" s="4" t="n">
        <v>45978</v>
      </c>
      <c r="C686" s="0" t="s">
        <v>32</v>
      </c>
      <c r="D686" s="3" t="s">
        <v>21</v>
      </c>
      <c r="E686" s="2" t="n">
        <v>445</v>
      </c>
      <c r="F686" s="5" t="n">
        <f aca="false">VLOOKUP(D686,Lookup!$A$2:$B$4,2,FALSE())</f>
        <v>0.1</v>
      </c>
      <c r="G686" s="2" t="n">
        <f aca="false">ROUND(E686*F686,2)</f>
        <v>44.5</v>
      </c>
      <c r="H686" s="2" t="n">
        <f aca="false">E686+G686</f>
        <v>489.5</v>
      </c>
      <c r="I686" s="3" t="s">
        <v>22</v>
      </c>
      <c r="J686" s="0" t="str">
        <f aca="false">_xlfn.XLOOKUP(C686,Departments!$A$2:$A$6,Departments!$B$2:$B$6,"Unknown")</f>
        <v>Operations</v>
      </c>
    </row>
    <row r="687" customFormat="false" ht="15" hidden="false" customHeight="false" outlineLevel="0" collapsed="false">
      <c r="A687" s="0" t="s">
        <v>714</v>
      </c>
      <c r="B687" s="4" t="n">
        <v>45979</v>
      </c>
      <c r="C687" s="0" t="s">
        <v>20</v>
      </c>
      <c r="D687" s="3" t="s">
        <v>25</v>
      </c>
      <c r="E687" s="2" t="n">
        <v>482</v>
      </c>
      <c r="F687" s="5" t="n">
        <f aca="false">VLOOKUP(D687,Lookup!$A$2:$B$4,2,FALSE())</f>
        <v>0.15</v>
      </c>
      <c r="G687" s="2" t="n">
        <f aca="false">ROUND(E687*F687,2)</f>
        <v>72.3</v>
      </c>
      <c r="H687" s="2" t="n">
        <f aca="false">E687+G687</f>
        <v>554.3</v>
      </c>
      <c r="I687" s="3" t="s">
        <v>35</v>
      </c>
      <c r="J687" s="0" t="str">
        <f aca="false">_xlfn.XLOOKUP(C687,Departments!$A$2:$A$6,Departments!$B$2:$B$6,"Unknown")</f>
        <v>Finance</v>
      </c>
    </row>
    <row r="688" customFormat="false" ht="15" hidden="false" customHeight="false" outlineLevel="0" collapsed="false">
      <c r="A688" s="0" t="s">
        <v>715</v>
      </c>
      <c r="B688" s="4" t="n">
        <v>45980</v>
      </c>
      <c r="C688" s="0" t="s">
        <v>24</v>
      </c>
      <c r="D688" s="3" t="s">
        <v>28</v>
      </c>
      <c r="E688" s="2" t="n">
        <v>519</v>
      </c>
      <c r="F688" s="5" t="n">
        <f aca="false">VLOOKUP(D688,Lookup!$A$2:$B$4,2,FALSE())</f>
        <v>0.05</v>
      </c>
      <c r="G688" s="2" t="n">
        <f aca="false">ROUND(E688*F688,2)</f>
        <v>25.95</v>
      </c>
      <c r="H688" s="2" t="n">
        <f aca="false">E688+G688</f>
        <v>544.95</v>
      </c>
      <c r="I688" s="3" t="s">
        <v>22</v>
      </c>
      <c r="J688" s="0" t="str">
        <f aca="false">_xlfn.XLOOKUP(C688,Departments!$A$2:$A$6,Departments!$B$2:$B$6,"Unknown")</f>
        <v>Quality</v>
      </c>
    </row>
    <row r="689" customFormat="false" ht="15" hidden="false" customHeight="false" outlineLevel="0" collapsed="false">
      <c r="A689" s="0" t="s">
        <v>716</v>
      </c>
      <c r="B689" s="4" t="n">
        <v>45981</v>
      </c>
      <c r="C689" s="0" t="s">
        <v>27</v>
      </c>
      <c r="D689" s="3" t="s">
        <v>21</v>
      </c>
      <c r="E689" s="2" t="n">
        <v>556</v>
      </c>
      <c r="F689" s="5" t="n">
        <f aca="false">VLOOKUP(D689,Lookup!$A$2:$B$4,2,FALSE())</f>
        <v>0.1</v>
      </c>
      <c r="G689" s="2" t="n">
        <f aca="false">ROUND(E689*F689,2)</f>
        <v>55.6</v>
      </c>
      <c r="H689" s="2" t="n">
        <f aca="false">E689+G689</f>
        <v>611.6</v>
      </c>
      <c r="I689" s="3" t="s">
        <v>22</v>
      </c>
      <c r="J689" s="0" t="str">
        <f aca="false">_xlfn.XLOOKUP(C689,Departments!$A$2:$A$6,Departments!$B$2:$B$6,"Unknown")</f>
        <v>Human Resources</v>
      </c>
    </row>
    <row r="690" customFormat="false" ht="15" hidden="false" customHeight="false" outlineLevel="0" collapsed="false">
      <c r="A690" s="0" t="s">
        <v>717</v>
      </c>
      <c r="B690" s="4" t="n">
        <v>45982</v>
      </c>
      <c r="C690" s="0" t="s">
        <v>30</v>
      </c>
      <c r="D690" s="3" t="s">
        <v>25</v>
      </c>
      <c r="E690" s="2" t="n">
        <v>593</v>
      </c>
      <c r="F690" s="5" t="n">
        <f aca="false">VLOOKUP(D690,Lookup!$A$2:$B$4,2,FALSE())</f>
        <v>0.15</v>
      </c>
      <c r="G690" s="2" t="n">
        <f aca="false">ROUND(E690*F690,2)</f>
        <v>88.95</v>
      </c>
      <c r="H690" s="2" t="n">
        <f aca="false">E690+G690</f>
        <v>681.95</v>
      </c>
      <c r="I690" s="3" t="s">
        <v>22</v>
      </c>
      <c r="J690" s="0" t="str">
        <f aca="false">_xlfn.XLOOKUP(C690,Departments!$A$2:$A$6,Departments!$B$2:$B$6,"Unknown")</f>
        <v>Technology</v>
      </c>
    </row>
    <row r="691" customFormat="false" ht="15" hidden="false" customHeight="false" outlineLevel="0" collapsed="false">
      <c r="A691" s="0" t="s">
        <v>718</v>
      </c>
      <c r="B691" s="4" t="n">
        <v>45983</v>
      </c>
      <c r="C691" s="0" t="s">
        <v>32</v>
      </c>
      <c r="D691" s="3" t="s">
        <v>28</v>
      </c>
      <c r="E691" s="2" t="n">
        <v>630</v>
      </c>
      <c r="F691" s="5" t="n">
        <f aca="false">VLOOKUP(D691,Lookup!$A$2:$B$4,2,FALSE())</f>
        <v>0.05</v>
      </c>
      <c r="G691" s="2" t="n">
        <f aca="false">ROUND(E691*F691,2)</f>
        <v>31.5</v>
      </c>
      <c r="H691" s="2" t="n">
        <f aca="false">E691+G691</f>
        <v>661.5</v>
      </c>
      <c r="I691" s="3" t="s">
        <v>22</v>
      </c>
      <c r="J691" s="0" t="str">
        <f aca="false">_xlfn.XLOOKUP(C691,Departments!$A$2:$A$6,Departments!$B$2:$B$6,"Unknown")</f>
        <v>Operations</v>
      </c>
    </row>
    <row r="692" customFormat="false" ht="15" hidden="false" customHeight="false" outlineLevel="0" collapsed="false">
      <c r="A692" s="0" t="s">
        <v>719</v>
      </c>
      <c r="B692" s="4" t="n">
        <v>45984</v>
      </c>
      <c r="C692" s="0" t="s">
        <v>20</v>
      </c>
      <c r="D692" s="3" t="s">
        <v>21</v>
      </c>
      <c r="E692" s="2" t="n">
        <v>667</v>
      </c>
      <c r="F692" s="5" t="n">
        <f aca="false">VLOOKUP(D692,Lookup!$A$2:$B$4,2,FALSE())</f>
        <v>0.1</v>
      </c>
      <c r="G692" s="2" t="n">
        <f aca="false">ROUND(E692*F692,2)</f>
        <v>66.7</v>
      </c>
      <c r="H692" s="2" t="n">
        <f aca="false">E692+G692</f>
        <v>733.7</v>
      </c>
      <c r="I692" s="3" t="s">
        <v>22</v>
      </c>
      <c r="J692" s="0" t="str">
        <f aca="false">_xlfn.XLOOKUP(C692,Departments!$A$2:$A$6,Departments!$B$2:$B$6,"Unknown")</f>
        <v>Finance</v>
      </c>
    </row>
    <row r="693" customFormat="false" ht="15" hidden="false" customHeight="false" outlineLevel="0" collapsed="false">
      <c r="A693" s="0" t="s">
        <v>720</v>
      </c>
      <c r="B693" s="4" t="n">
        <v>45985</v>
      </c>
      <c r="C693" s="0" t="s">
        <v>24</v>
      </c>
      <c r="D693" s="3" t="s">
        <v>25</v>
      </c>
      <c r="E693" s="2" t="n">
        <v>704</v>
      </c>
      <c r="F693" s="5" t="n">
        <f aca="false">VLOOKUP(D693,Lookup!$A$2:$B$4,2,FALSE())</f>
        <v>0.15</v>
      </c>
      <c r="G693" s="2" t="n">
        <f aca="false">ROUND(E693*F693,2)</f>
        <v>105.6</v>
      </c>
      <c r="H693" s="2" t="n">
        <f aca="false">E693+G693</f>
        <v>809.6</v>
      </c>
      <c r="I693" s="3" t="s">
        <v>22</v>
      </c>
      <c r="J693" s="0" t="str">
        <f aca="false">_xlfn.XLOOKUP(C693,Departments!$A$2:$A$6,Departments!$B$2:$B$6,"Unknown")</f>
        <v>Quality</v>
      </c>
    </row>
    <row r="694" customFormat="false" ht="15" hidden="false" customHeight="false" outlineLevel="0" collapsed="false">
      <c r="A694" s="0" t="s">
        <v>721</v>
      </c>
      <c r="B694" s="4" t="n">
        <v>45986</v>
      </c>
      <c r="C694" s="0" t="s">
        <v>27</v>
      </c>
      <c r="D694" s="3" t="s">
        <v>28</v>
      </c>
      <c r="E694" s="2" t="n">
        <v>741</v>
      </c>
      <c r="F694" s="5" t="n">
        <f aca="false">VLOOKUP(D694,Lookup!$A$2:$B$4,2,FALSE())</f>
        <v>0.05</v>
      </c>
      <c r="G694" s="2" t="n">
        <f aca="false">ROUND(E694*F694,2)</f>
        <v>37.05</v>
      </c>
      <c r="H694" s="2" t="n">
        <f aca="false">E694+G694</f>
        <v>778.05</v>
      </c>
      <c r="I694" s="3" t="s">
        <v>35</v>
      </c>
      <c r="J694" s="0" t="str">
        <f aca="false">_xlfn.XLOOKUP(C694,Departments!$A$2:$A$6,Departments!$B$2:$B$6,"Unknown")</f>
        <v>Human Resources</v>
      </c>
    </row>
    <row r="695" customFormat="false" ht="15" hidden="false" customHeight="false" outlineLevel="0" collapsed="false">
      <c r="A695" s="0" t="s">
        <v>722</v>
      </c>
      <c r="B695" s="4" t="n">
        <v>45987</v>
      </c>
      <c r="C695" s="0" t="s">
        <v>30</v>
      </c>
      <c r="D695" s="3" t="s">
        <v>21</v>
      </c>
      <c r="E695" s="2" t="n">
        <v>778</v>
      </c>
      <c r="F695" s="5" t="n">
        <f aca="false">VLOOKUP(D695,Lookup!$A$2:$B$4,2,FALSE())</f>
        <v>0.1</v>
      </c>
      <c r="G695" s="2" t="n">
        <f aca="false">ROUND(E695*F695,2)</f>
        <v>77.8</v>
      </c>
      <c r="H695" s="2" t="n">
        <f aca="false">E695+G695</f>
        <v>855.8</v>
      </c>
      <c r="I695" s="3" t="s">
        <v>22</v>
      </c>
      <c r="J695" s="0" t="str">
        <f aca="false">_xlfn.XLOOKUP(C695,Departments!$A$2:$A$6,Departments!$B$2:$B$6,"Unknown")</f>
        <v>Technology</v>
      </c>
    </row>
    <row r="696" customFormat="false" ht="15" hidden="false" customHeight="false" outlineLevel="0" collapsed="false">
      <c r="A696" s="0" t="s">
        <v>723</v>
      </c>
      <c r="B696" s="4" t="n">
        <v>45988</v>
      </c>
      <c r="C696" s="0" t="s">
        <v>32</v>
      </c>
      <c r="D696" s="3" t="s">
        <v>25</v>
      </c>
      <c r="E696" s="2" t="n">
        <v>815</v>
      </c>
      <c r="F696" s="5" t="n">
        <f aca="false">VLOOKUP(D696,Lookup!$A$2:$B$4,2,FALSE())</f>
        <v>0.15</v>
      </c>
      <c r="G696" s="2" t="n">
        <f aca="false">ROUND(E696*F696,2)</f>
        <v>122.25</v>
      </c>
      <c r="H696" s="2" t="n">
        <f aca="false">E696+G696</f>
        <v>937.25</v>
      </c>
      <c r="I696" s="3" t="s">
        <v>22</v>
      </c>
      <c r="J696" s="0" t="str">
        <f aca="false">_xlfn.XLOOKUP(C696,Departments!$A$2:$A$6,Departments!$B$2:$B$6,"Unknown")</f>
        <v>Operations</v>
      </c>
    </row>
    <row r="697" customFormat="false" ht="15" hidden="false" customHeight="false" outlineLevel="0" collapsed="false">
      <c r="A697" s="0" t="s">
        <v>724</v>
      </c>
      <c r="B697" s="4" t="n">
        <v>45989</v>
      </c>
      <c r="C697" s="0" t="s">
        <v>20</v>
      </c>
      <c r="D697" s="3" t="s">
        <v>28</v>
      </c>
      <c r="E697" s="2" t="n">
        <v>852</v>
      </c>
      <c r="F697" s="5" t="n">
        <f aca="false">VLOOKUP(D697,Lookup!$A$2:$B$4,2,FALSE())</f>
        <v>0.05</v>
      </c>
      <c r="G697" s="2" t="n">
        <f aca="false">ROUND(E697*F697,2)</f>
        <v>42.6</v>
      </c>
      <c r="H697" s="2" t="n">
        <f aca="false">E697+G697</f>
        <v>894.6</v>
      </c>
      <c r="I697" s="3" t="s">
        <v>22</v>
      </c>
      <c r="J697" s="0" t="str">
        <f aca="false">_xlfn.XLOOKUP(C697,Departments!$A$2:$A$6,Departments!$B$2:$B$6,"Unknown")</f>
        <v>Finance</v>
      </c>
    </row>
    <row r="698" customFormat="false" ht="15" hidden="false" customHeight="false" outlineLevel="0" collapsed="false">
      <c r="A698" s="0" t="s">
        <v>725</v>
      </c>
      <c r="B698" s="4" t="n">
        <v>45990</v>
      </c>
      <c r="C698" s="0" t="s">
        <v>24</v>
      </c>
      <c r="D698" s="3" t="s">
        <v>21</v>
      </c>
      <c r="E698" s="2" t="n">
        <v>889</v>
      </c>
      <c r="F698" s="5" t="n">
        <f aca="false">VLOOKUP(D698,Lookup!$A$2:$B$4,2,FALSE())</f>
        <v>0.1</v>
      </c>
      <c r="G698" s="2" t="n">
        <f aca="false">ROUND(E698*F698,2)</f>
        <v>88.9</v>
      </c>
      <c r="H698" s="2" t="n">
        <f aca="false">E698+G698</f>
        <v>977.9</v>
      </c>
      <c r="I698" s="3" t="s">
        <v>22</v>
      </c>
      <c r="J698" s="0" t="str">
        <f aca="false">_xlfn.XLOOKUP(C698,Departments!$A$2:$A$6,Departments!$B$2:$B$6,"Unknown")</f>
        <v>Quality</v>
      </c>
    </row>
    <row r="699" customFormat="false" ht="15" hidden="false" customHeight="false" outlineLevel="0" collapsed="false">
      <c r="A699" s="0" t="s">
        <v>726</v>
      </c>
      <c r="B699" s="4" t="n">
        <v>45991</v>
      </c>
      <c r="C699" s="0" t="s">
        <v>27</v>
      </c>
      <c r="D699" s="3" t="s">
        <v>25</v>
      </c>
      <c r="E699" s="2" t="n">
        <v>926</v>
      </c>
      <c r="F699" s="5" t="n">
        <f aca="false">VLOOKUP(D699,Lookup!$A$2:$B$4,2,FALSE())</f>
        <v>0.15</v>
      </c>
      <c r="G699" s="2" t="n">
        <f aca="false">ROUND(E699*F699,2)</f>
        <v>138.9</v>
      </c>
      <c r="H699" s="2" t="n">
        <f aca="false">E699+G699</f>
        <v>1064.9</v>
      </c>
      <c r="I699" s="3" t="s">
        <v>22</v>
      </c>
      <c r="J699" s="0" t="str">
        <f aca="false">_xlfn.XLOOKUP(C699,Departments!$A$2:$A$6,Departments!$B$2:$B$6,"Unknown")</f>
        <v>Human Resources</v>
      </c>
    </row>
    <row r="700" customFormat="false" ht="15" hidden="false" customHeight="false" outlineLevel="0" collapsed="false">
      <c r="A700" s="0" t="s">
        <v>727</v>
      </c>
      <c r="B700" s="4" t="n">
        <v>45992</v>
      </c>
      <c r="C700" s="0" t="s">
        <v>30</v>
      </c>
      <c r="D700" s="3" t="s">
        <v>28</v>
      </c>
      <c r="E700" s="2" t="n">
        <v>963</v>
      </c>
      <c r="F700" s="5" t="n">
        <f aca="false">VLOOKUP(D700,Lookup!$A$2:$B$4,2,FALSE())</f>
        <v>0.05</v>
      </c>
      <c r="G700" s="2" t="n">
        <f aca="false">ROUND(E700*F700,2)</f>
        <v>48.15</v>
      </c>
      <c r="H700" s="2" t="n">
        <f aca="false">E700+G700</f>
        <v>1011.15</v>
      </c>
      <c r="I700" s="3" t="s">
        <v>22</v>
      </c>
      <c r="J700" s="0" t="str">
        <f aca="false">_xlfn.XLOOKUP(C700,Departments!$A$2:$A$6,Departments!$B$2:$B$6,"Unknown")</f>
        <v>Technology</v>
      </c>
    </row>
    <row r="701" customFormat="false" ht="15" hidden="false" customHeight="false" outlineLevel="0" collapsed="false">
      <c r="A701" s="0" t="s">
        <v>728</v>
      </c>
      <c r="B701" s="4" t="n">
        <v>45993</v>
      </c>
      <c r="C701" s="0" t="s">
        <v>32</v>
      </c>
      <c r="D701" s="3" t="s">
        <v>21</v>
      </c>
      <c r="E701" s="2" t="n">
        <v>1000</v>
      </c>
      <c r="F701" s="5" t="n">
        <f aca="false">VLOOKUP(D701,Lookup!$A$2:$B$4,2,FALSE())</f>
        <v>0.1</v>
      </c>
      <c r="G701" s="2" t="n">
        <f aca="false">ROUND(E701*F701,2)</f>
        <v>100</v>
      </c>
      <c r="H701" s="2" t="n">
        <f aca="false">E701+G701</f>
        <v>1100</v>
      </c>
      <c r="I701" s="3" t="s">
        <v>35</v>
      </c>
      <c r="J701" s="0" t="str">
        <f aca="false">_xlfn.XLOOKUP(C701,Departments!$A$2:$A$6,Departments!$B$2:$B$6,"Unknown")</f>
        <v>Operations</v>
      </c>
    </row>
    <row r="702" customFormat="false" ht="15" hidden="false" customHeight="false" outlineLevel="0" collapsed="false">
      <c r="A702" s="0" t="s">
        <v>729</v>
      </c>
      <c r="B702" s="4" t="n">
        <v>45994</v>
      </c>
      <c r="C702" s="0" t="s">
        <v>20</v>
      </c>
      <c r="D702" s="3" t="s">
        <v>25</v>
      </c>
      <c r="E702" s="2" t="n">
        <v>1037</v>
      </c>
      <c r="F702" s="5" t="n">
        <f aca="false">VLOOKUP(D702,Lookup!$A$2:$B$4,2,FALSE())</f>
        <v>0.15</v>
      </c>
      <c r="G702" s="2" t="n">
        <f aca="false">ROUND(E702*F702,2)</f>
        <v>155.55</v>
      </c>
      <c r="H702" s="2" t="n">
        <f aca="false">E702+G702</f>
        <v>1192.55</v>
      </c>
      <c r="I702" s="3" t="s">
        <v>22</v>
      </c>
      <c r="J702" s="0" t="str">
        <f aca="false">_xlfn.XLOOKUP(C702,Departments!$A$2:$A$6,Departments!$B$2:$B$6,"Unknown")</f>
        <v>Finance</v>
      </c>
    </row>
    <row r="703" customFormat="false" ht="15" hidden="false" customHeight="false" outlineLevel="0" collapsed="false">
      <c r="A703" s="0" t="s">
        <v>730</v>
      </c>
      <c r="B703" s="4" t="n">
        <v>45995</v>
      </c>
      <c r="C703" s="0" t="s">
        <v>24</v>
      </c>
      <c r="D703" s="3" t="s">
        <v>28</v>
      </c>
      <c r="E703" s="2" t="n">
        <v>1074</v>
      </c>
      <c r="F703" s="5" t="n">
        <f aca="false">VLOOKUP(D703,Lookup!$A$2:$B$4,2,FALSE())</f>
        <v>0.05</v>
      </c>
      <c r="G703" s="2" t="n">
        <f aca="false">ROUND(E703*F703,2)</f>
        <v>53.7</v>
      </c>
      <c r="H703" s="2" t="n">
        <f aca="false">E703+G703</f>
        <v>1127.7</v>
      </c>
      <c r="I703" s="3" t="s">
        <v>22</v>
      </c>
      <c r="J703" s="0" t="str">
        <f aca="false">_xlfn.XLOOKUP(C703,Departments!$A$2:$A$6,Departments!$B$2:$B$6,"Unknown")</f>
        <v>Quality</v>
      </c>
    </row>
    <row r="704" customFormat="false" ht="15" hidden="false" customHeight="false" outlineLevel="0" collapsed="false">
      <c r="A704" s="0" t="s">
        <v>731</v>
      </c>
      <c r="B704" s="4" t="n">
        <v>45996</v>
      </c>
      <c r="C704" s="0" t="s">
        <v>27</v>
      </c>
      <c r="D704" s="3" t="s">
        <v>21</v>
      </c>
      <c r="E704" s="2" t="n">
        <v>1111</v>
      </c>
      <c r="F704" s="5" t="n">
        <f aca="false">VLOOKUP(D704,Lookup!$A$2:$B$4,2,FALSE())</f>
        <v>0.1</v>
      </c>
      <c r="G704" s="2" t="n">
        <f aca="false">ROUND(E704*F704,2)</f>
        <v>111.1</v>
      </c>
      <c r="H704" s="2" t="n">
        <f aca="false">E704+G704</f>
        <v>1222.1</v>
      </c>
      <c r="I704" s="3" t="s">
        <v>22</v>
      </c>
      <c r="J704" s="0" t="str">
        <f aca="false">_xlfn.XLOOKUP(C704,Departments!$A$2:$A$6,Departments!$B$2:$B$6,"Unknown")</f>
        <v>Human Resources</v>
      </c>
    </row>
    <row r="705" customFormat="false" ht="15" hidden="false" customHeight="false" outlineLevel="0" collapsed="false">
      <c r="A705" s="0" t="s">
        <v>732</v>
      </c>
      <c r="B705" s="4" t="n">
        <v>45997</v>
      </c>
      <c r="C705" s="0" t="s">
        <v>30</v>
      </c>
      <c r="D705" s="3" t="s">
        <v>25</v>
      </c>
      <c r="E705" s="2" t="n">
        <v>1148</v>
      </c>
      <c r="F705" s="5" t="n">
        <f aca="false">VLOOKUP(D705,Lookup!$A$2:$B$4,2,FALSE())</f>
        <v>0.15</v>
      </c>
      <c r="G705" s="2" t="n">
        <f aca="false">ROUND(E705*F705,2)</f>
        <v>172.2</v>
      </c>
      <c r="H705" s="2" t="n">
        <f aca="false">E705+G705</f>
        <v>1320.2</v>
      </c>
      <c r="I705" s="3" t="s">
        <v>22</v>
      </c>
      <c r="J705" s="0" t="str">
        <f aca="false">_xlfn.XLOOKUP(C705,Departments!$A$2:$A$6,Departments!$B$2:$B$6,"Unknown")</f>
        <v>Technology</v>
      </c>
    </row>
    <row r="706" customFormat="false" ht="15" hidden="false" customHeight="false" outlineLevel="0" collapsed="false">
      <c r="A706" s="0" t="s">
        <v>733</v>
      </c>
      <c r="B706" s="4" t="n">
        <v>45998</v>
      </c>
      <c r="C706" s="0" t="s">
        <v>32</v>
      </c>
      <c r="D706" s="3" t="s">
        <v>28</v>
      </c>
      <c r="E706" s="2" t="n">
        <v>1185</v>
      </c>
      <c r="F706" s="5" t="n">
        <f aca="false">VLOOKUP(D706,Lookup!$A$2:$B$4,2,FALSE())</f>
        <v>0.05</v>
      </c>
      <c r="G706" s="2" t="n">
        <f aca="false">ROUND(E706*F706,2)</f>
        <v>59.25</v>
      </c>
      <c r="H706" s="2" t="n">
        <f aca="false">E706+G706</f>
        <v>1244.25</v>
      </c>
      <c r="I706" s="3" t="s">
        <v>22</v>
      </c>
      <c r="J706" s="0" t="str">
        <f aca="false">_xlfn.XLOOKUP(C706,Departments!$A$2:$A$6,Departments!$B$2:$B$6,"Unknown")</f>
        <v>Operations</v>
      </c>
    </row>
    <row r="707" customFormat="false" ht="15" hidden="false" customHeight="false" outlineLevel="0" collapsed="false">
      <c r="A707" s="0" t="s">
        <v>734</v>
      </c>
      <c r="B707" s="4" t="n">
        <v>45999</v>
      </c>
      <c r="C707" s="0" t="s">
        <v>20</v>
      </c>
      <c r="D707" s="3" t="s">
        <v>21</v>
      </c>
      <c r="E707" s="2" t="n">
        <v>1222</v>
      </c>
      <c r="F707" s="5" t="n">
        <f aca="false">VLOOKUP(D707,Lookup!$A$2:$B$4,2,FALSE())</f>
        <v>0.1</v>
      </c>
      <c r="G707" s="2" t="n">
        <f aca="false">ROUND(E707*F707,2)</f>
        <v>122.2</v>
      </c>
      <c r="H707" s="2" t="n">
        <f aca="false">E707+G707</f>
        <v>1344.2</v>
      </c>
      <c r="I707" s="3" t="s">
        <v>22</v>
      </c>
      <c r="J707" s="0" t="str">
        <f aca="false">_xlfn.XLOOKUP(C707,Departments!$A$2:$A$6,Departments!$B$2:$B$6,"Unknown")</f>
        <v>Finance</v>
      </c>
    </row>
    <row r="708" customFormat="false" ht="15" hidden="false" customHeight="false" outlineLevel="0" collapsed="false">
      <c r="A708" s="0" t="s">
        <v>735</v>
      </c>
      <c r="B708" s="4" t="n">
        <v>46000</v>
      </c>
      <c r="C708" s="0" t="s">
        <v>24</v>
      </c>
      <c r="D708" s="3" t="s">
        <v>25</v>
      </c>
      <c r="E708" s="2" t="n">
        <v>1259</v>
      </c>
      <c r="F708" s="5" t="n">
        <f aca="false">VLOOKUP(D708,Lookup!$A$2:$B$4,2,FALSE())</f>
        <v>0.15</v>
      </c>
      <c r="G708" s="2" t="n">
        <f aca="false">ROUND(E708*F708,2)</f>
        <v>188.85</v>
      </c>
      <c r="H708" s="2" t="n">
        <f aca="false">E708+G708</f>
        <v>1447.85</v>
      </c>
      <c r="I708" s="3" t="s">
        <v>35</v>
      </c>
      <c r="J708" s="0" t="str">
        <f aca="false">_xlfn.XLOOKUP(C708,Departments!$A$2:$A$6,Departments!$B$2:$B$6,"Unknown")</f>
        <v>Quality</v>
      </c>
    </row>
    <row r="709" customFormat="false" ht="15" hidden="false" customHeight="false" outlineLevel="0" collapsed="false">
      <c r="A709" s="0" t="s">
        <v>736</v>
      </c>
      <c r="B709" s="4" t="n">
        <v>46001</v>
      </c>
      <c r="C709" s="0" t="s">
        <v>27</v>
      </c>
      <c r="D709" s="3" t="s">
        <v>28</v>
      </c>
      <c r="E709" s="2" t="n">
        <v>1296</v>
      </c>
      <c r="F709" s="5" t="n">
        <f aca="false">VLOOKUP(D709,Lookup!$A$2:$B$4,2,FALSE())</f>
        <v>0.05</v>
      </c>
      <c r="G709" s="2" t="n">
        <f aca="false">ROUND(E709*F709,2)</f>
        <v>64.8</v>
      </c>
      <c r="H709" s="2" t="n">
        <f aca="false">E709+G709</f>
        <v>1360.8</v>
      </c>
      <c r="I709" s="3" t="s">
        <v>22</v>
      </c>
      <c r="J709" s="0" t="str">
        <f aca="false">_xlfn.XLOOKUP(C709,Departments!$A$2:$A$6,Departments!$B$2:$B$6,"Unknown")</f>
        <v>Human Resources</v>
      </c>
    </row>
    <row r="710" customFormat="false" ht="15" hidden="false" customHeight="false" outlineLevel="0" collapsed="false">
      <c r="A710" s="0" t="s">
        <v>737</v>
      </c>
      <c r="B710" s="4" t="n">
        <v>46002</v>
      </c>
      <c r="C710" s="0" t="s">
        <v>30</v>
      </c>
      <c r="D710" s="3" t="s">
        <v>21</v>
      </c>
      <c r="E710" s="2" t="n">
        <v>1333</v>
      </c>
      <c r="F710" s="5" t="n">
        <f aca="false">VLOOKUP(D710,Lookup!$A$2:$B$4,2,FALSE())</f>
        <v>0.1</v>
      </c>
      <c r="G710" s="2" t="n">
        <f aca="false">ROUND(E710*F710,2)</f>
        <v>133.3</v>
      </c>
      <c r="H710" s="2" t="n">
        <f aca="false">E710+G710</f>
        <v>1466.3</v>
      </c>
      <c r="I710" s="3" t="s">
        <v>22</v>
      </c>
      <c r="J710" s="0" t="str">
        <f aca="false">_xlfn.XLOOKUP(C710,Departments!$A$2:$A$6,Departments!$B$2:$B$6,"Unknown")</f>
        <v>Technology</v>
      </c>
    </row>
    <row r="711" customFormat="false" ht="15" hidden="false" customHeight="false" outlineLevel="0" collapsed="false">
      <c r="A711" s="0" t="s">
        <v>738</v>
      </c>
      <c r="B711" s="4" t="n">
        <v>46003</v>
      </c>
      <c r="C711" s="0" t="s">
        <v>32</v>
      </c>
      <c r="D711" s="3" t="s">
        <v>25</v>
      </c>
      <c r="E711" s="2" t="n">
        <v>1370</v>
      </c>
      <c r="F711" s="5" t="n">
        <f aca="false">VLOOKUP(D711,Lookup!$A$2:$B$4,2,FALSE())</f>
        <v>0.15</v>
      </c>
      <c r="G711" s="2" t="n">
        <f aca="false">ROUND(E711*F711,2)</f>
        <v>205.5</v>
      </c>
      <c r="H711" s="2" t="n">
        <f aca="false">E711+G711</f>
        <v>1575.5</v>
      </c>
      <c r="I711" s="3" t="s">
        <v>22</v>
      </c>
      <c r="J711" s="0" t="str">
        <f aca="false">_xlfn.XLOOKUP(C711,Departments!$A$2:$A$6,Departments!$B$2:$B$6,"Unknown")</f>
        <v>Operations</v>
      </c>
    </row>
    <row r="712" customFormat="false" ht="15" hidden="false" customHeight="false" outlineLevel="0" collapsed="false">
      <c r="A712" s="0" t="s">
        <v>739</v>
      </c>
      <c r="B712" s="4" t="n">
        <v>46004</v>
      </c>
      <c r="C712" s="0" t="s">
        <v>20</v>
      </c>
      <c r="D712" s="3" t="s">
        <v>28</v>
      </c>
      <c r="E712" s="2" t="n">
        <v>1407</v>
      </c>
      <c r="F712" s="5" t="n">
        <f aca="false">VLOOKUP(D712,Lookup!$A$2:$B$4,2,FALSE())</f>
        <v>0.05</v>
      </c>
      <c r="G712" s="2" t="n">
        <f aca="false">ROUND(E712*F712,2)</f>
        <v>70.35</v>
      </c>
      <c r="H712" s="2" t="n">
        <f aca="false">E712+G712</f>
        <v>1477.35</v>
      </c>
      <c r="I712" s="3" t="s">
        <v>22</v>
      </c>
      <c r="J712" s="0" t="str">
        <f aca="false">_xlfn.XLOOKUP(C712,Departments!$A$2:$A$6,Departments!$B$2:$B$6,"Unknown")</f>
        <v>Finance</v>
      </c>
    </row>
    <row r="713" customFormat="false" ht="15" hidden="false" customHeight="false" outlineLevel="0" collapsed="false">
      <c r="A713" s="0" t="s">
        <v>740</v>
      </c>
      <c r="B713" s="4" t="n">
        <v>46005</v>
      </c>
      <c r="C713" s="0" t="s">
        <v>24</v>
      </c>
      <c r="D713" s="3" t="s">
        <v>21</v>
      </c>
      <c r="E713" s="2" t="n">
        <v>1444</v>
      </c>
      <c r="F713" s="5" t="n">
        <f aca="false">VLOOKUP(D713,Lookup!$A$2:$B$4,2,FALSE())</f>
        <v>0.1</v>
      </c>
      <c r="G713" s="2" t="n">
        <f aca="false">ROUND(E713*F713,2)</f>
        <v>144.4</v>
      </c>
      <c r="H713" s="2" t="n">
        <f aca="false">E713+G713</f>
        <v>1588.4</v>
      </c>
      <c r="I713" s="3" t="s">
        <v>22</v>
      </c>
      <c r="J713" s="0" t="str">
        <f aca="false">_xlfn.XLOOKUP(C713,Departments!$A$2:$A$6,Departments!$B$2:$B$6,"Unknown")</f>
        <v>Quality</v>
      </c>
    </row>
    <row r="714" customFormat="false" ht="15" hidden="false" customHeight="false" outlineLevel="0" collapsed="false">
      <c r="A714" s="0" t="s">
        <v>741</v>
      </c>
      <c r="B714" s="4" t="n">
        <v>46006</v>
      </c>
      <c r="C714" s="0" t="s">
        <v>27</v>
      </c>
      <c r="D714" s="3" t="s">
        <v>25</v>
      </c>
      <c r="E714" s="2" t="n">
        <v>1481</v>
      </c>
      <c r="F714" s="5" t="n">
        <f aca="false">VLOOKUP(D714,Lookup!$A$2:$B$4,2,FALSE())</f>
        <v>0.15</v>
      </c>
      <c r="G714" s="2" t="n">
        <f aca="false">ROUND(E714*F714,2)</f>
        <v>222.15</v>
      </c>
      <c r="H714" s="2" t="n">
        <f aca="false">E714+G714</f>
        <v>1703.15</v>
      </c>
      <c r="I714" s="3" t="s">
        <v>22</v>
      </c>
      <c r="J714" s="0" t="str">
        <f aca="false">_xlfn.XLOOKUP(C714,Departments!$A$2:$A$6,Departments!$B$2:$B$6,"Unknown")</f>
        <v>Human Resources</v>
      </c>
    </row>
    <row r="715" customFormat="false" ht="15" hidden="false" customHeight="false" outlineLevel="0" collapsed="false">
      <c r="A715" s="0" t="s">
        <v>742</v>
      </c>
      <c r="B715" s="4" t="n">
        <v>46007</v>
      </c>
      <c r="C715" s="0" t="s">
        <v>30</v>
      </c>
      <c r="D715" s="3" t="s">
        <v>28</v>
      </c>
      <c r="E715" s="2" t="n">
        <v>1518</v>
      </c>
      <c r="F715" s="5" t="n">
        <f aca="false">VLOOKUP(D715,Lookup!$A$2:$B$4,2,FALSE())</f>
        <v>0.05</v>
      </c>
      <c r="G715" s="2" t="n">
        <f aca="false">ROUND(E715*F715,2)</f>
        <v>75.9</v>
      </c>
      <c r="H715" s="2" t="n">
        <f aca="false">E715+G715</f>
        <v>1593.9</v>
      </c>
      <c r="I715" s="3" t="s">
        <v>35</v>
      </c>
      <c r="J715" s="0" t="str">
        <f aca="false">_xlfn.XLOOKUP(C715,Departments!$A$2:$A$6,Departments!$B$2:$B$6,"Unknown")</f>
        <v>Technology</v>
      </c>
    </row>
    <row r="716" customFormat="false" ht="15" hidden="false" customHeight="false" outlineLevel="0" collapsed="false">
      <c r="A716" s="0" t="s">
        <v>743</v>
      </c>
      <c r="B716" s="4" t="n">
        <v>46008</v>
      </c>
      <c r="C716" s="0" t="s">
        <v>32</v>
      </c>
      <c r="D716" s="3" t="s">
        <v>21</v>
      </c>
      <c r="E716" s="2" t="n">
        <v>1555</v>
      </c>
      <c r="F716" s="5" t="n">
        <f aca="false">VLOOKUP(D716,Lookup!$A$2:$B$4,2,FALSE())</f>
        <v>0.1</v>
      </c>
      <c r="G716" s="2" t="n">
        <f aca="false">ROUND(E716*F716,2)</f>
        <v>155.5</v>
      </c>
      <c r="H716" s="2" t="n">
        <f aca="false">E716+G716</f>
        <v>1710.5</v>
      </c>
      <c r="I716" s="3" t="s">
        <v>22</v>
      </c>
      <c r="J716" s="0" t="str">
        <f aca="false">_xlfn.XLOOKUP(C716,Departments!$A$2:$A$6,Departments!$B$2:$B$6,"Unknown")</f>
        <v>Operations</v>
      </c>
    </row>
    <row r="717" customFormat="false" ht="15" hidden="false" customHeight="false" outlineLevel="0" collapsed="false">
      <c r="A717" s="0" t="s">
        <v>744</v>
      </c>
      <c r="B717" s="4" t="n">
        <v>46009</v>
      </c>
      <c r="C717" s="0" t="s">
        <v>20</v>
      </c>
      <c r="D717" s="3" t="s">
        <v>25</v>
      </c>
      <c r="E717" s="2" t="n">
        <v>1592</v>
      </c>
      <c r="F717" s="5" t="n">
        <f aca="false">VLOOKUP(D717,Lookup!$A$2:$B$4,2,FALSE())</f>
        <v>0.15</v>
      </c>
      <c r="G717" s="2" t="n">
        <f aca="false">ROUND(E717*F717,2)</f>
        <v>238.8</v>
      </c>
      <c r="H717" s="2" t="n">
        <f aca="false">E717+G717</f>
        <v>1830.8</v>
      </c>
      <c r="I717" s="3" t="s">
        <v>22</v>
      </c>
      <c r="J717" s="0" t="str">
        <f aca="false">_xlfn.XLOOKUP(C717,Departments!$A$2:$A$6,Departments!$B$2:$B$6,"Unknown")</f>
        <v>Finance</v>
      </c>
    </row>
    <row r="718" customFormat="false" ht="15" hidden="false" customHeight="false" outlineLevel="0" collapsed="false">
      <c r="A718" s="0" t="s">
        <v>745</v>
      </c>
      <c r="B718" s="4" t="n">
        <v>46010</v>
      </c>
      <c r="C718" s="0" t="s">
        <v>24</v>
      </c>
      <c r="D718" s="3" t="s">
        <v>28</v>
      </c>
      <c r="E718" s="2" t="n">
        <v>1629</v>
      </c>
      <c r="F718" s="5" t="n">
        <f aca="false">VLOOKUP(D718,Lookup!$A$2:$B$4,2,FALSE())</f>
        <v>0.05</v>
      </c>
      <c r="G718" s="2" t="n">
        <f aca="false">ROUND(E718*F718,2)</f>
        <v>81.45</v>
      </c>
      <c r="H718" s="2" t="n">
        <f aca="false">E718+G718</f>
        <v>1710.45</v>
      </c>
      <c r="I718" s="3" t="s">
        <v>22</v>
      </c>
      <c r="J718" s="0" t="str">
        <f aca="false">_xlfn.XLOOKUP(C718,Departments!$A$2:$A$6,Departments!$B$2:$B$6,"Unknown")</f>
        <v>Quality</v>
      </c>
    </row>
    <row r="719" customFormat="false" ht="15" hidden="false" customHeight="false" outlineLevel="0" collapsed="false">
      <c r="A719" s="0" t="s">
        <v>746</v>
      </c>
      <c r="B719" s="4" t="n">
        <v>46011</v>
      </c>
      <c r="C719" s="0" t="s">
        <v>27</v>
      </c>
      <c r="D719" s="3" t="s">
        <v>21</v>
      </c>
      <c r="E719" s="2" t="n">
        <v>1666</v>
      </c>
      <c r="F719" s="5" t="n">
        <f aca="false">VLOOKUP(D719,Lookup!$A$2:$B$4,2,FALSE())</f>
        <v>0.1</v>
      </c>
      <c r="G719" s="2" t="n">
        <f aca="false">ROUND(E719*F719,2)</f>
        <v>166.6</v>
      </c>
      <c r="H719" s="2" t="n">
        <f aca="false">E719+G719</f>
        <v>1832.6</v>
      </c>
      <c r="I719" s="3" t="s">
        <v>22</v>
      </c>
      <c r="J719" s="0" t="str">
        <f aca="false">_xlfn.XLOOKUP(C719,Departments!$A$2:$A$6,Departments!$B$2:$B$6,"Unknown")</f>
        <v>Human Resources</v>
      </c>
    </row>
    <row r="720" customFormat="false" ht="15" hidden="false" customHeight="false" outlineLevel="0" collapsed="false">
      <c r="A720" s="0" t="s">
        <v>747</v>
      </c>
      <c r="B720" s="4" t="n">
        <v>46012</v>
      </c>
      <c r="C720" s="0" t="s">
        <v>30</v>
      </c>
      <c r="D720" s="3" t="s">
        <v>25</v>
      </c>
      <c r="E720" s="2" t="n">
        <v>1703</v>
      </c>
      <c r="F720" s="5" t="n">
        <f aca="false">VLOOKUP(D720,Lookup!$A$2:$B$4,2,FALSE())</f>
        <v>0.15</v>
      </c>
      <c r="G720" s="2" t="n">
        <f aca="false">ROUND(E720*F720,2)</f>
        <v>255.45</v>
      </c>
      <c r="H720" s="2" t="n">
        <f aca="false">E720+G720</f>
        <v>1958.45</v>
      </c>
      <c r="I720" s="3" t="s">
        <v>22</v>
      </c>
      <c r="J720" s="0" t="str">
        <f aca="false">_xlfn.XLOOKUP(C720,Departments!$A$2:$A$6,Departments!$B$2:$B$6,"Unknown")</f>
        <v>Technology</v>
      </c>
    </row>
    <row r="721" customFormat="false" ht="15" hidden="false" customHeight="false" outlineLevel="0" collapsed="false">
      <c r="A721" s="0" t="s">
        <v>748</v>
      </c>
      <c r="B721" s="4" t="n">
        <v>46013</v>
      </c>
      <c r="C721" s="0" t="s">
        <v>32</v>
      </c>
      <c r="D721" s="3" t="s">
        <v>28</v>
      </c>
      <c r="E721" s="2" t="n">
        <v>1740</v>
      </c>
      <c r="F721" s="5" t="n">
        <f aca="false">VLOOKUP(D721,Lookup!$A$2:$B$4,2,FALSE())</f>
        <v>0.05</v>
      </c>
      <c r="G721" s="2" t="n">
        <f aca="false">ROUND(E721*F721,2)</f>
        <v>87</v>
      </c>
      <c r="H721" s="2" t="n">
        <f aca="false">E721+G721</f>
        <v>1827</v>
      </c>
      <c r="I721" s="3" t="s">
        <v>22</v>
      </c>
      <c r="J721" s="0" t="str">
        <f aca="false">_xlfn.XLOOKUP(C721,Departments!$A$2:$A$6,Departments!$B$2:$B$6,"Unknown")</f>
        <v>Operations</v>
      </c>
    </row>
    <row r="722" customFormat="false" ht="15" hidden="false" customHeight="false" outlineLevel="0" collapsed="false">
      <c r="A722" s="0" t="s">
        <v>749</v>
      </c>
      <c r="B722" s="4" t="n">
        <v>46014</v>
      </c>
      <c r="C722" s="0" t="s">
        <v>20</v>
      </c>
      <c r="D722" s="3" t="s">
        <v>21</v>
      </c>
      <c r="E722" s="2" t="n">
        <v>1777</v>
      </c>
      <c r="F722" s="5" t="n">
        <f aca="false">VLOOKUP(D722,Lookup!$A$2:$B$4,2,FALSE())</f>
        <v>0.1</v>
      </c>
      <c r="G722" s="2" t="n">
        <f aca="false">ROUND(E722*F722,2)</f>
        <v>177.7</v>
      </c>
      <c r="H722" s="2" t="n">
        <f aca="false">E722+G722</f>
        <v>1954.7</v>
      </c>
      <c r="I722" s="3" t="s">
        <v>35</v>
      </c>
      <c r="J722" s="0" t="str">
        <f aca="false">_xlfn.XLOOKUP(C722,Departments!$A$2:$A$6,Departments!$B$2:$B$6,"Unknown")</f>
        <v>Finance</v>
      </c>
    </row>
    <row r="723" customFormat="false" ht="15" hidden="false" customHeight="false" outlineLevel="0" collapsed="false">
      <c r="A723" s="0" t="s">
        <v>750</v>
      </c>
      <c r="B723" s="4" t="n">
        <v>46015</v>
      </c>
      <c r="C723" s="0" t="s">
        <v>24</v>
      </c>
      <c r="D723" s="3" t="s">
        <v>25</v>
      </c>
      <c r="E723" s="2" t="n">
        <v>1814</v>
      </c>
      <c r="F723" s="5" t="n">
        <f aca="false">VLOOKUP(D723,Lookup!$A$2:$B$4,2,FALSE())</f>
        <v>0.15</v>
      </c>
      <c r="G723" s="2" t="n">
        <f aca="false">ROUND(E723*F723,2)</f>
        <v>272.1</v>
      </c>
      <c r="H723" s="2" t="n">
        <f aca="false">E723+G723</f>
        <v>2086.1</v>
      </c>
      <c r="I723" s="3" t="s">
        <v>22</v>
      </c>
      <c r="J723" s="0" t="str">
        <f aca="false">_xlfn.XLOOKUP(C723,Departments!$A$2:$A$6,Departments!$B$2:$B$6,"Unknown")</f>
        <v>Quality</v>
      </c>
    </row>
    <row r="724" customFormat="false" ht="15" hidden="false" customHeight="false" outlineLevel="0" collapsed="false">
      <c r="A724" s="0" t="s">
        <v>751</v>
      </c>
      <c r="B724" s="4" t="n">
        <v>46016</v>
      </c>
      <c r="C724" s="0" t="s">
        <v>27</v>
      </c>
      <c r="D724" s="3" t="s">
        <v>28</v>
      </c>
      <c r="E724" s="2" t="n">
        <v>1851</v>
      </c>
      <c r="F724" s="5" t="n">
        <f aca="false">VLOOKUP(D724,Lookup!$A$2:$B$4,2,FALSE())</f>
        <v>0.05</v>
      </c>
      <c r="G724" s="2" t="n">
        <f aca="false">ROUND(E724*F724,2)</f>
        <v>92.55</v>
      </c>
      <c r="H724" s="2" t="n">
        <f aca="false">E724+G724</f>
        <v>1943.55</v>
      </c>
      <c r="I724" s="3" t="s">
        <v>22</v>
      </c>
      <c r="J724" s="0" t="str">
        <f aca="false">_xlfn.XLOOKUP(C724,Departments!$A$2:$A$6,Departments!$B$2:$B$6,"Unknown")</f>
        <v>Human Resources</v>
      </c>
    </row>
    <row r="725" customFormat="false" ht="15" hidden="false" customHeight="false" outlineLevel="0" collapsed="false">
      <c r="A725" s="0" t="s">
        <v>752</v>
      </c>
      <c r="B725" s="4" t="n">
        <v>46017</v>
      </c>
      <c r="C725" s="0" t="s">
        <v>30</v>
      </c>
      <c r="D725" s="3" t="s">
        <v>21</v>
      </c>
      <c r="E725" s="2" t="n">
        <v>1888</v>
      </c>
      <c r="F725" s="5" t="n">
        <f aca="false">VLOOKUP(D725,Lookup!$A$2:$B$4,2,FALSE())</f>
        <v>0.1</v>
      </c>
      <c r="G725" s="2" t="n">
        <f aca="false">ROUND(E725*F725,2)</f>
        <v>188.8</v>
      </c>
      <c r="H725" s="2" t="n">
        <f aca="false">E725+G725</f>
        <v>2076.8</v>
      </c>
      <c r="I725" s="3" t="s">
        <v>22</v>
      </c>
      <c r="J725" s="0" t="str">
        <f aca="false">_xlfn.XLOOKUP(C725,Departments!$A$2:$A$6,Departments!$B$2:$B$6,"Unknown")</f>
        <v>Technology</v>
      </c>
    </row>
    <row r="726" customFormat="false" ht="15" hidden="false" customHeight="false" outlineLevel="0" collapsed="false">
      <c r="A726" s="0" t="s">
        <v>753</v>
      </c>
      <c r="B726" s="4" t="n">
        <v>46018</v>
      </c>
      <c r="C726" s="0" t="s">
        <v>32</v>
      </c>
      <c r="D726" s="3" t="s">
        <v>25</v>
      </c>
      <c r="E726" s="2" t="n">
        <v>1925</v>
      </c>
      <c r="F726" s="5" t="n">
        <f aca="false">VLOOKUP(D726,Lookup!$A$2:$B$4,2,FALSE())</f>
        <v>0.15</v>
      </c>
      <c r="G726" s="2" t="n">
        <f aca="false">ROUND(E726*F726,2)</f>
        <v>288.75</v>
      </c>
      <c r="H726" s="2" t="n">
        <f aca="false">E726+G726</f>
        <v>2213.75</v>
      </c>
      <c r="I726" s="3" t="s">
        <v>22</v>
      </c>
      <c r="J726" s="0" t="str">
        <f aca="false">_xlfn.XLOOKUP(C726,Departments!$A$2:$A$6,Departments!$B$2:$B$6,"Unknown")</f>
        <v>Operations</v>
      </c>
    </row>
    <row r="727" customFormat="false" ht="15" hidden="false" customHeight="false" outlineLevel="0" collapsed="false">
      <c r="A727" s="0" t="s">
        <v>754</v>
      </c>
      <c r="B727" s="4" t="n">
        <v>46019</v>
      </c>
      <c r="C727" s="0" t="s">
        <v>20</v>
      </c>
      <c r="D727" s="3" t="s">
        <v>28</v>
      </c>
      <c r="E727" s="2" t="n">
        <v>1962</v>
      </c>
      <c r="F727" s="5" t="n">
        <f aca="false">VLOOKUP(D727,Lookup!$A$2:$B$4,2,FALSE())</f>
        <v>0.05</v>
      </c>
      <c r="G727" s="2" t="n">
        <f aca="false">ROUND(E727*F727,2)</f>
        <v>98.1</v>
      </c>
      <c r="H727" s="2" t="n">
        <f aca="false">E727+G727</f>
        <v>2060.1</v>
      </c>
      <c r="I727" s="3" t="s">
        <v>22</v>
      </c>
      <c r="J727" s="0" t="str">
        <f aca="false">_xlfn.XLOOKUP(C727,Departments!$A$2:$A$6,Departments!$B$2:$B$6,"Unknown")</f>
        <v>Finance</v>
      </c>
    </row>
    <row r="728" customFormat="false" ht="15" hidden="false" customHeight="false" outlineLevel="0" collapsed="false">
      <c r="A728" s="0" t="s">
        <v>755</v>
      </c>
      <c r="B728" s="4" t="n">
        <v>46020</v>
      </c>
      <c r="C728" s="0" t="s">
        <v>24</v>
      </c>
      <c r="D728" s="3" t="s">
        <v>21</v>
      </c>
      <c r="E728" s="2" t="n">
        <v>1999</v>
      </c>
      <c r="F728" s="5" t="n">
        <f aca="false">VLOOKUP(D728,Lookup!$A$2:$B$4,2,FALSE())</f>
        <v>0.1</v>
      </c>
      <c r="G728" s="2" t="n">
        <f aca="false">ROUND(E728*F728,2)</f>
        <v>199.9</v>
      </c>
      <c r="H728" s="2" t="n">
        <f aca="false">E728+G728</f>
        <v>2198.9</v>
      </c>
      <c r="I728" s="3" t="s">
        <v>22</v>
      </c>
      <c r="J728" s="0" t="str">
        <f aca="false">_xlfn.XLOOKUP(C728,Departments!$A$2:$A$6,Departments!$B$2:$B$6,"Unknown")</f>
        <v>Quality</v>
      </c>
    </row>
    <row r="729" customFormat="false" ht="15" hidden="false" customHeight="false" outlineLevel="0" collapsed="false">
      <c r="A729" s="0" t="s">
        <v>756</v>
      </c>
      <c r="B729" s="4" t="n">
        <v>46021</v>
      </c>
      <c r="C729" s="0" t="s">
        <v>27</v>
      </c>
      <c r="D729" s="3" t="s">
        <v>25</v>
      </c>
      <c r="E729" s="2" t="n">
        <v>2036</v>
      </c>
      <c r="F729" s="5" t="n">
        <f aca="false">VLOOKUP(D729,Lookup!$A$2:$B$4,2,FALSE())</f>
        <v>0.15</v>
      </c>
      <c r="G729" s="2" t="n">
        <f aca="false">ROUND(E729*F729,2)</f>
        <v>305.4</v>
      </c>
      <c r="H729" s="2" t="n">
        <f aca="false">E729+G729</f>
        <v>2341.4</v>
      </c>
      <c r="I729" s="3" t="s">
        <v>35</v>
      </c>
      <c r="J729" s="0" t="str">
        <f aca="false">_xlfn.XLOOKUP(C729,Departments!$A$2:$A$6,Departments!$B$2:$B$6,"Unknown")</f>
        <v>Human Resources</v>
      </c>
    </row>
    <row r="730" customFormat="false" ht="15" hidden="false" customHeight="false" outlineLevel="0" collapsed="false">
      <c r="A730" s="0" t="s">
        <v>757</v>
      </c>
      <c r="B730" s="4" t="n">
        <v>46022</v>
      </c>
      <c r="C730" s="0" t="s">
        <v>30</v>
      </c>
      <c r="D730" s="3" t="s">
        <v>28</v>
      </c>
      <c r="E730" s="2" t="n">
        <v>2073</v>
      </c>
      <c r="F730" s="5" t="n">
        <f aca="false">VLOOKUP(D730,Lookup!$A$2:$B$4,2,FALSE())</f>
        <v>0.05</v>
      </c>
      <c r="G730" s="2" t="n">
        <f aca="false">ROUND(E730*F730,2)</f>
        <v>103.65</v>
      </c>
      <c r="H730" s="2" t="n">
        <f aca="false">E730+G730</f>
        <v>2176.65</v>
      </c>
      <c r="I730" s="3" t="s">
        <v>22</v>
      </c>
      <c r="J730" s="0" t="str">
        <f aca="false">_xlfn.XLOOKUP(C730,Departments!$A$2:$A$6,Departments!$B$2:$B$6,"Unknown")</f>
        <v>Technology</v>
      </c>
    </row>
    <row r="731" customFormat="false" ht="15" hidden="false" customHeight="false" outlineLevel="0" collapsed="false">
      <c r="A731" s="0" t="s">
        <v>758</v>
      </c>
      <c r="B731" s="4" t="n">
        <v>45658</v>
      </c>
      <c r="C731" s="0" t="s">
        <v>32</v>
      </c>
      <c r="D731" s="3" t="s">
        <v>21</v>
      </c>
      <c r="E731" s="2" t="n">
        <v>2110</v>
      </c>
      <c r="F731" s="5" t="n">
        <f aca="false">VLOOKUP(D731,Lookup!$A$2:$B$4,2,FALSE())</f>
        <v>0.1</v>
      </c>
      <c r="G731" s="2" t="n">
        <f aca="false">ROUND(E731*F731,2)</f>
        <v>211</v>
      </c>
      <c r="H731" s="2" t="n">
        <f aca="false">E731+G731</f>
        <v>2321</v>
      </c>
      <c r="I731" s="3" t="s">
        <v>22</v>
      </c>
      <c r="J731" s="0" t="str">
        <f aca="false">_xlfn.XLOOKUP(C731,Departments!$A$2:$A$6,Departments!$B$2:$B$6,"Unknown")</f>
        <v>Operations</v>
      </c>
    </row>
    <row r="732" customFormat="false" ht="15" hidden="false" customHeight="false" outlineLevel="0" collapsed="false">
      <c r="A732" s="0" t="s">
        <v>759</v>
      </c>
      <c r="B732" s="4" t="n">
        <v>45659</v>
      </c>
      <c r="C732" s="0" t="s">
        <v>20</v>
      </c>
      <c r="D732" s="3" t="s">
        <v>25</v>
      </c>
      <c r="E732" s="2" t="n">
        <v>2147</v>
      </c>
      <c r="F732" s="5" t="n">
        <f aca="false">VLOOKUP(D732,Lookup!$A$2:$B$4,2,FALSE())</f>
        <v>0.15</v>
      </c>
      <c r="G732" s="2" t="n">
        <f aca="false">ROUND(E732*F732,2)</f>
        <v>322.05</v>
      </c>
      <c r="H732" s="2" t="n">
        <f aca="false">E732+G732</f>
        <v>2469.05</v>
      </c>
      <c r="I732" s="3" t="s">
        <v>22</v>
      </c>
      <c r="J732" s="0" t="str">
        <f aca="false">_xlfn.XLOOKUP(C732,Departments!$A$2:$A$6,Departments!$B$2:$B$6,"Unknown")</f>
        <v>Finance</v>
      </c>
    </row>
    <row r="733" customFormat="false" ht="15" hidden="false" customHeight="false" outlineLevel="0" collapsed="false">
      <c r="A733" s="0" t="s">
        <v>760</v>
      </c>
      <c r="B733" s="4" t="n">
        <v>45660</v>
      </c>
      <c r="C733" s="0" t="s">
        <v>24</v>
      </c>
      <c r="D733" s="3" t="s">
        <v>28</v>
      </c>
      <c r="E733" s="2" t="n">
        <v>2184</v>
      </c>
      <c r="F733" s="5" t="n">
        <f aca="false">VLOOKUP(D733,Lookup!$A$2:$B$4,2,FALSE())</f>
        <v>0.05</v>
      </c>
      <c r="G733" s="2" t="n">
        <f aca="false">ROUND(E733*F733,2)</f>
        <v>109.2</v>
      </c>
      <c r="H733" s="2" t="n">
        <f aca="false">E733+G733</f>
        <v>2293.2</v>
      </c>
      <c r="I733" s="3" t="s">
        <v>22</v>
      </c>
      <c r="J733" s="0" t="str">
        <f aca="false">_xlfn.XLOOKUP(C733,Departments!$A$2:$A$6,Departments!$B$2:$B$6,"Unknown")</f>
        <v>Quality</v>
      </c>
    </row>
    <row r="734" customFormat="false" ht="15" hidden="false" customHeight="false" outlineLevel="0" collapsed="false">
      <c r="A734" s="0" t="s">
        <v>761</v>
      </c>
      <c r="B734" s="4" t="n">
        <v>45661</v>
      </c>
      <c r="C734" s="0" t="s">
        <v>27</v>
      </c>
      <c r="D734" s="3" t="s">
        <v>21</v>
      </c>
      <c r="E734" s="2" t="n">
        <v>2221</v>
      </c>
      <c r="F734" s="5" t="n">
        <f aca="false">VLOOKUP(D734,Lookup!$A$2:$B$4,2,FALSE())</f>
        <v>0.1</v>
      </c>
      <c r="G734" s="2" t="n">
        <f aca="false">ROUND(E734*F734,2)</f>
        <v>222.1</v>
      </c>
      <c r="H734" s="2" t="n">
        <f aca="false">E734+G734</f>
        <v>2443.1</v>
      </c>
      <c r="I734" s="3" t="s">
        <v>22</v>
      </c>
      <c r="J734" s="0" t="str">
        <f aca="false">_xlfn.XLOOKUP(C734,Departments!$A$2:$A$6,Departments!$B$2:$B$6,"Unknown")</f>
        <v>Human Resources</v>
      </c>
    </row>
    <row r="735" customFormat="false" ht="15" hidden="false" customHeight="false" outlineLevel="0" collapsed="false">
      <c r="A735" s="0" t="s">
        <v>762</v>
      </c>
      <c r="B735" s="4" t="n">
        <v>45662</v>
      </c>
      <c r="C735" s="0" t="s">
        <v>30</v>
      </c>
      <c r="D735" s="3" t="s">
        <v>25</v>
      </c>
      <c r="E735" s="2" t="n">
        <v>2258</v>
      </c>
      <c r="F735" s="5" t="n">
        <f aca="false">VLOOKUP(D735,Lookup!$A$2:$B$4,2,FALSE())</f>
        <v>0.15</v>
      </c>
      <c r="G735" s="2" t="n">
        <f aca="false">ROUND(E735*F735,2)</f>
        <v>338.7</v>
      </c>
      <c r="H735" s="2" t="n">
        <f aca="false">E735+G735</f>
        <v>2596.7</v>
      </c>
      <c r="I735" s="3" t="s">
        <v>22</v>
      </c>
      <c r="J735" s="0" t="str">
        <f aca="false">_xlfn.XLOOKUP(C735,Departments!$A$2:$A$6,Departments!$B$2:$B$6,"Unknown")</f>
        <v>Technology</v>
      </c>
    </row>
    <row r="736" customFormat="false" ht="15" hidden="false" customHeight="false" outlineLevel="0" collapsed="false">
      <c r="A736" s="0" t="s">
        <v>763</v>
      </c>
      <c r="B736" s="4" t="n">
        <v>45663</v>
      </c>
      <c r="C736" s="0" t="s">
        <v>32</v>
      </c>
      <c r="D736" s="3" t="s">
        <v>28</v>
      </c>
      <c r="E736" s="2" t="n">
        <v>2295</v>
      </c>
      <c r="F736" s="5" t="n">
        <f aca="false">VLOOKUP(D736,Lookup!$A$2:$B$4,2,FALSE())</f>
        <v>0.05</v>
      </c>
      <c r="G736" s="2" t="n">
        <f aca="false">ROUND(E736*F736,2)</f>
        <v>114.75</v>
      </c>
      <c r="H736" s="2" t="n">
        <f aca="false">E736+G736</f>
        <v>2409.75</v>
      </c>
      <c r="I736" s="3" t="s">
        <v>35</v>
      </c>
      <c r="J736" s="0" t="str">
        <f aca="false">_xlfn.XLOOKUP(C736,Departments!$A$2:$A$6,Departments!$B$2:$B$6,"Unknown")</f>
        <v>Operations</v>
      </c>
    </row>
    <row r="737" customFormat="false" ht="15" hidden="false" customHeight="false" outlineLevel="0" collapsed="false">
      <c r="A737" s="0" t="s">
        <v>764</v>
      </c>
      <c r="B737" s="4" t="n">
        <v>45664</v>
      </c>
      <c r="C737" s="0" t="s">
        <v>20</v>
      </c>
      <c r="D737" s="3" t="s">
        <v>21</v>
      </c>
      <c r="E737" s="2" t="n">
        <v>2332</v>
      </c>
      <c r="F737" s="5" t="n">
        <f aca="false">VLOOKUP(D737,Lookup!$A$2:$B$4,2,FALSE())</f>
        <v>0.1</v>
      </c>
      <c r="G737" s="2" t="n">
        <f aca="false">ROUND(E737*F737,2)</f>
        <v>233.2</v>
      </c>
      <c r="H737" s="2" t="n">
        <f aca="false">E737+G737</f>
        <v>2565.2</v>
      </c>
      <c r="I737" s="3" t="s">
        <v>22</v>
      </c>
      <c r="J737" s="0" t="str">
        <f aca="false">_xlfn.XLOOKUP(C737,Departments!$A$2:$A$6,Departments!$B$2:$B$6,"Unknown")</f>
        <v>Finance</v>
      </c>
    </row>
    <row r="738" customFormat="false" ht="15" hidden="false" customHeight="false" outlineLevel="0" collapsed="false">
      <c r="A738" s="0" t="s">
        <v>765</v>
      </c>
      <c r="B738" s="4" t="n">
        <v>45665</v>
      </c>
      <c r="C738" s="0" t="s">
        <v>24</v>
      </c>
      <c r="D738" s="3" t="s">
        <v>25</v>
      </c>
      <c r="E738" s="2" t="n">
        <v>2369</v>
      </c>
      <c r="F738" s="5" t="n">
        <f aca="false">VLOOKUP(D738,Lookup!$A$2:$B$4,2,FALSE())</f>
        <v>0.15</v>
      </c>
      <c r="G738" s="2" t="n">
        <f aca="false">ROUND(E738*F738,2)</f>
        <v>355.35</v>
      </c>
      <c r="H738" s="2" t="n">
        <f aca="false">E738+G738</f>
        <v>2724.35</v>
      </c>
      <c r="I738" s="3" t="s">
        <v>22</v>
      </c>
      <c r="J738" s="0" t="str">
        <f aca="false">_xlfn.XLOOKUP(C738,Departments!$A$2:$A$6,Departments!$B$2:$B$6,"Unknown")</f>
        <v>Quality</v>
      </c>
    </row>
    <row r="739" customFormat="false" ht="15" hidden="false" customHeight="false" outlineLevel="0" collapsed="false">
      <c r="A739" s="0" t="s">
        <v>766</v>
      </c>
      <c r="B739" s="4" t="n">
        <v>45666</v>
      </c>
      <c r="C739" s="0" t="s">
        <v>27</v>
      </c>
      <c r="D739" s="3" t="s">
        <v>28</v>
      </c>
      <c r="E739" s="2" t="n">
        <v>2406</v>
      </c>
      <c r="F739" s="5" t="n">
        <f aca="false">VLOOKUP(D739,Lookup!$A$2:$B$4,2,FALSE())</f>
        <v>0.05</v>
      </c>
      <c r="G739" s="2" t="n">
        <f aca="false">ROUND(E739*F739,2)</f>
        <v>120.3</v>
      </c>
      <c r="H739" s="2" t="n">
        <f aca="false">E739+G739</f>
        <v>2526.3</v>
      </c>
      <c r="I739" s="3" t="s">
        <v>22</v>
      </c>
      <c r="J739" s="0" t="str">
        <f aca="false">_xlfn.XLOOKUP(C739,Departments!$A$2:$A$6,Departments!$B$2:$B$6,"Unknown")</f>
        <v>Human Resources</v>
      </c>
    </row>
    <row r="740" customFormat="false" ht="15" hidden="false" customHeight="false" outlineLevel="0" collapsed="false">
      <c r="A740" s="0" t="s">
        <v>767</v>
      </c>
      <c r="B740" s="4" t="n">
        <v>45667</v>
      </c>
      <c r="C740" s="0" t="s">
        <v>30</v>
      </c>
      <c r="D740" s="3" t="s">
        <v>21</v>
      </c>
      <c r="E740" s="2" t="n">
        <v>2443</v>
      </c>
      <c r="F740" s="5" t="n">
        <f aca="false">VLOOKUP(D740,Lookup!$A$2:$B$4,2,FALSE())</f>
        <v>0.1</v>
      </c>
      <c r="G740" s="2" t="n">
        <f aca="false">ROUND(E740*F740,2)</f>
        <v>244.3</v>
      </c>
      <c r="H740" s="2" t="n">
        <f aca="false">E740+G740</f>
        <v>2687.3</v>
      </c>
      <c r="I740" s="3" t="s">
        <v>22</v>
      </c>
      <c r="J740" s="0" t="str">
        <f aca="false">_xlfn.XLOOKUP(C740,Departments!$A$2:$A$6,Departments!$B$2:$B$6,"Unknown")</f>
        <v>Technology</v>
      </c>
    </row>
    <row r="741" customFormat="false" ht="15" hidden="false" customHeight="false" outlineLevel="0" collapsed="false">
      <c r="A741" s="0" t="s">
        <v>768</v>
      </c>
      <c r="B741" s="4" t="n">
        <v>45668</v>
      </c>
      <c r="C741" s="0" t="s">
        <v>32</v>
      </c>
      <c r="D741" s="3" t="s">
        <v>25</v>
      </c>
      <c r="E741" s="2" t="n">
        <v>2480</v>
      </c>
      <c r="F741" s="5" t="n">
        <f aca="false">VLOOKUP(D741,Lookup!$A$2:$B$4,2,FALSE())</f>
        <v>0.15</v>
      </c>
      <c r="G741" s="2" t="n">
        <f aca="false">ROUND(E741*F741,2)</f>
        <v>372</v>
      </c>
      <c r="H741" s="2" t="n">
        <f aca="false">E741+G741</f>
        <v>2852</v>
      </c>
      <c r="I741" s="3" t="s">
        <v>22</v>
      </c>
      <c r="J741" s="0" t="str">
        <f aca="false">_xlfn.XLOOKUP(C741,Departments!$A$2:$A$6,Departments!$B$2:$B$6,"Unknown")</f>
        <v>Operations</v>
      </c>
    </row>
    <row r="742" customFormat="false" ht="15" hidden="false" customHeight="false" outlineLevel="0" collapsed="false">
      <c r="A742" s="0" t="s">
        <v>769</v>
      </c>
      <c r="B742" s="4" t="n">
        <v>45669</v>
      </c>
      <c r="C742" s="0" t="s">
        <v>20</v>
      </c>
      <c r="D742" s="3" t="s">
        <v>28</v>
      </c>
      <c r="E742" s="2" t="n">
        <v>2517</v>
      </c>
      <c r="F742" s="5" t="n">
        <f aca="false">VLOOKUP(D742,Lookup!$A$2:$B$4,2,FALSE())</f>
        <v>0.05</v>
      </c>
      <c r="G742" s="2" t="n">
        <f aca="false">ROUND(E742*F742,2)</f>
        <v>125.85</v>
      </c>
      <c r="H742" s="2" t="n">
        <f aca="false">E742+G742</f>
        <v>2642.85</v>
      </c>
      <c r="I742" s="3" t="s">
        <v>22</v>
      </c>
      <c r="J742" s="0" t="str">
        <f aca="false">_xlfn.XLOOKUP(C742,Departments!$A$2:$A$6,Departments!$B$2:$B$6,"Unknown")</f>
        <v>Finance</v>
      </c>
    </row>
    <row r="743" customFormat="false" ht="15" hidden="false" customHeight="false" outlineLevel="0" collapsed="false">
      <c r="A743" s="0" t="s">
        <v>770</v>
      </c>
      <c r="B743" s="4" t="n">
        <v>45670</v>
      </c>
      <c r="C743" s="0" t="s">
        <v>24</v>
      </c>
      <c r="D743" s="3" t="s">
        <v>21</v>
      </c>
      <c r="E743" s="2" t="n">
        <v>2554</v>
      </c>
      <c r="F743" s="5" t="n">
        <f aca="false">VLOOKUP(D743,Lookup!$A$2:$B$4,2,FALSE())</f>
        <v>0.1</v>
      </c>
      <c r="G743" s="2" t="n">
        <f aca="false">ROUND(E743*F743,2)</f>
        <v>255.4</v>
      </c>
      <c r="H743" s="2" t="n">
        <f aca="false">E743+G743</f>
        <v>2809.4</v>
      </c>
      <c r="I743" s="3" t="s">
        <v>35</v>
      </c>
      <c r="J743" s="0" t="str">
        <f aca="false">_xlfn.XLOOKUP(C743,Departments!$A$2:$A$6,Departments!$B$2:$B$6,"Unknown")</f>
        <v>Quality</v>
      </c>
    </row>
    <row r="744" customFormat="false" ht="15" hidden="false" customHeight="false" outlineLevel="0" collapsed="false">
      <c r="A744" s="0" t="s">
        <v>771</v>
      </c>
      <c r="B744" s="4" t="n">
        <v>45671</v>
      </c>
      <c r="C744" s="0" t="s">
        <v>27</v>
      </c>
      <c r="D744" s="3" t="s">
        <v>25</v>
      </c>
      <c r="E744" s="2" t="n">
        <v>2591</v>
      </c>
      <c r="F744" s="5" t="n">
        <f aca="false">VLOOKUP(D744,Lookup!$A$2:$B$4,2,FALSE())</f>
        <v>0.15</v>
      </c>
      <c r="G744" s="2" t="n">
        <f aca="false">ROUND(E744*F744,2)</f>
        <v>388.65</v>
      </c>
      <c r="H744" s="2" t="n">
        <f aca="false">E744+G744</f>
        <v>2979.65</v>
      </c>
      <c r="I744" s="3" t="s">
        <v>22</v>
      </c>
      <c r="J744" s="0" t="str">
        <f aca="false">_xlfn.XLOOKUP(C744,Departments!$A$2:$A$6,Departments!$B$2:$B$6,"Unknown")</f>
        <v>Human Resources</v>
      </c>
    </row>
    <row r="745" customFormat="false" ht="15" hidden="false" customHeight="false" outlineLevel="0" collapsed="false">
      <c r="A745" s="0" t="s">
        <v>772</v>
      </c>
      <c r="B745" s="4" t="n">
        <v>45672</v>
      </c>
      <c r="C745" s="0" t="s">
        <v>30</v>
      </c>
      <c r="D745" s="3" t="s">
        <v>28</v>
      </c>
      <c r="E745" s="2" t="n">
        <v>2628</v>
      </c>
      <c r="F745" s="5" t="n">
        <f aca="false">VLOOKUP(D745,Lookup!$A$2:$B$4,2,FALSE())</f>
        <v>0.05</v>
      </c>
      <c r="G745" s="2" t="n">
        <f aca="false">ROUND(E745*F745,2)</f>
        <v>131.4</v>
      </c>
      <c r="H745" s="2" t="n">
        <f aca="false">E745+G745</f>
        <v>2759.4</v>
      </c>
      <c r="I745" s="3" t="s">
        <v>22</v>
      </c>
      <c r="J745" s="0" t="str">
        <f aca="false">_xlfn.XLOOKUP(C745,Departments!$A$2:$A$6,Departments!$B$2:$B$6,"Unknown")</f>
        <v>Technology</v>
      </c>
    </row>
    <row r="746" customFormat="false" ht="15" hidden="false" customHeight="false" outlineLevel="0" collapsed="false">
      <c r="A746" s="0" t="s">
        <v>773</v>
      </c>
      <c r="B746" s="4" t="n">
        <v>45673</v>
      </c>
      <c r="C746" s="0" t="s">
        <v>32</v>
      </c>
      <c r="D746" s="3" t="s">
        <v>21</v>
      </c>
      <c r="E746" s="2" t="n">
        <v>2665</v>
      </c>
      <c r="F746" s="5" t="n">
        <f aca="false">VLOOKUP(D746,Lookup!$A$2:$B$4,2,FALSE())</f>
        <v>0.1</v>
      </c>
      <c r="G746" s="2" t="n">
        <f aca="false">ROUND(E746*F746,2)</f>
        <v>266.5</v>
      </c>
      <c r="H746" s="2" t="n">
        <f aca="false">E746+G746</f>
        <v>2931.5</v>
      </c>
      <c r="I746" s="3" t="s">
        <v>22</v>
      </c>
      <c r="J746" s="0" t="str">
        <f aca="false">_xlfn.XLOOKUP(C746,Departments!$A$2:$A$6,Departments!$B$2:$B$6,"Unknown")</f>
        <v>Operations</v>
      </c>
    </row>
    <row r="747" customFormat="false" ht="15" hidden="false" customHeight="false" outlineLevel="0" collapsed="false">
      <c r="A747" s="0" t="s">
        <v>774</v>
      </c>
      <c r="B747" s="4" t="n">
        <v>45674</v>
      </c>
      <c r="C747" s="0" t="s">
        <v>20</v>
      </c>
      <c r="D747" s="3" t="s">
        <v>25</v>
      </c>
      <c r="E747" s="2" t="n">
        <v>2702</v>
      </c>
      <c r="F747" s="5" t="n">
        <f aca="false">VLOOKUP(D747,Lookup!$A$2:$B$4,2,FALSE())</f>
        <v>0.15</v>
      </c>
      <c r="G747" s="2" t="n">
        <f aca="false">ROUND(E747*F747,2)</f>
        <v>405.3</v>
      </c>
      <c r="H747" s="2" t="n">
        <f aca="false">E747+G747</f>
        <v>3107.3</v>
      </c>
      <c r="I747" s="3" t="s">
        <v>22</v>
      </c>
      <c r="J747" s="0" t="str">
        <f aca="false">_xlfn.XLOOKUP(C747,Departments!$A$2:$A$6,Departments!$B$2:$B$6,"Unknown")</f>
        <v>Finance</v>
      </c>
    </row>
    <row r="748" customFormat="false" ht="15" hidden="false" customHeight="false" outlineLevel="0" collapsed="false">
      <c r="A748" s="0" t="s">
        <v>775</v>
      </c>
      <c r="B748" s="4" t="n">
        <v>45675</v>
      </c>
      <c r="C748" s="0" t="s">
        <v>24</v>
      </c>
      <c r="D748" s="3" t="s">
        <v>28</v>
      </c>
      <c r="E748" s="2" t="n">
        <v>2739</v>
      </c>
      <c r="F748" s="5" t="n">
        <f aca="false">VLOOKUP(D748,Lookup!$A$2:$B$4,2,FALSE())</f>
        <v>0.05</v>
      </c>
      <c r="G748" s="2" t="n">
        <f aca="false">ROUND(E748*F748,2)</f>
        <v>136.95</v>
      </c>
      <c r="H748" s="2" t="n">
        <f aca="false">E748+G748</f>
        <v>2875.95</v>
      </c>
      <c r="I748" s="3" t="s">
        <v>22</v>
      </c>
      <c r="J748" s="0" t="str">
        <f aca="false">_xlfn.XLOOKUP(C748,Departments!$A$2:$A$6,Departments!$B$2:$B$6,"Unknown")</f>
        <v>Quality</v>
      </c>
    </row>
    <row r="749" customFormat="false" ht="15" hidden="false" customHeight="false" outlineLevel="0" collapsed="false">
      <c r="A749" s="0" t="s">
        <v>776</v>
      </c>
      <c r="B749" s="4" t="n">
        <v>45676</v>
      </c>
      <c r="C749" s="0" t="s">
        <v>27</v>
      </c>
      <c r="D749" s="3" t="s">
        <v>21</v>
      </c>
      <c r="E749" s="2" t="n">
        <v>2776</v>
      </c>
      <c r="F749" s="5" t="n">
        <f aca="false">VLOOKUP(D749,Lookup!$A$2:$B$4,2,FALSE())</f>
        <v>0.1</v>
      </c>
      <c r="G749" s="2" t="n">
        <f aca="false">ROUND(E749*F749,2)</f>
        <v>277.6</v>
      </c>
      <c r="H749" s="2" t="n">
        <f aca="false">E749+G749</f>
        <v>3053.6</v>
      </c>
      <c r="I749" s="3" t="s">
        <v>22</v>
      </c>
      <c r="J749" s="0" t="str">
        <f aca="false">_xlfn.XLOOKUP(C749,Departments!$A$2:$A$6,Departments!$B$2:$B$6,"Unknown")</f>
        <v>Human Resources</v>
      </c>
    </row>
    <row r="750" customFormat="false" ht="15" hidden="false" customHeight="false" outlineLevel="0" collapsed="false">
      <c r="A750" s="0" t="s">
        <v>777</v>
      </c>
      <c r="B750" s="4" t="n">
        <v>45677</v>
      </c>
      <c r="C750" s="0" t="s">
        <v>30</v>
      </c>
      <c r="D750" s="3" t="s">
        <v>25</v>
      </c>
      <c r="E750" s="2" t="n">
        <v>2813</v>
      </c>
      <c r="F750" s="5" t="n">
        <f aca="false">VLOOKUP(D750,Lookup!$A$2:$B$4,2,FALSE())</f>
        <v>0.15</v>
      </c>
      <c r="G750" s="2" t="n">
        <f aca="false">ROUND(E750*F750,2)</f>
        <v>421.95</v>
      </c>
      <c r="H750" s="2" t="n">
        <f aca="false">E750+G750</f>
        <v>3234.95</v>
      </c>
      <c r="I750" s="3" t="s">
        <v>35</v>
      </c>
      <c r="J750" s="0" t="str">
        <f aca="false">_xlfn.XLOOKUP(C750,Departments!$A$2:$A$6,Departments!$B$2:$B$6,"Unknown")</f>
        <v>Technology</v>
      </c>
    </row>
    <row r="751" customFormat="false" ht="15" hidden="false" customHeight="false" outlineLevel="0" collapsed="false">
      <c r="A751" s="0" t="s">
        <v>778</v>
      </c>
      <c r="B751" s="4" t="n">
        <v>45678</v>
      </c>
      <c r="C751" s="0" t="s">
        <v>32</v>
      </c>
      <c r="D751" s="3" t="s">
        <v>28</v>
      </c>
      <c r="E751" s="2" t="n">
        <v>2850</v>
      </c>
      <c r="F751" s="5" t="n">
        <f aca="false">VLOOKUP(D751,Lookup!$A$2:$B$4,2,FALSE())</f>
        <v>0.05</v>
      </c>
      <c r="G751" s="2" t="n">
        <f aca="false">ROUND(E751*F751,2)</f>
        <v>142.5</v>
      </c>
      <c r="H751" s="2" t="n">
        <f aca="false">E751+G751</f>
        <v>2992.5</v>
      </c>
      <c r="I751" s="3" t="s">
        <v>22</v>
      </c>
      <c r="J751" s="0" t="str">
        <f aca="false">_xlfn.XLOOKUP(C751,Departments!$A$2:$A$6,Departments!$B$2:$B$6,"Unknown")</f>
        <v>Operations</v>
      </c>
    </row>
    <row r="752" customFormat="false" ht="15" hidden="false" customHeight="false" outlineLevel="0" collapsed="false">
      <c r="A752" s="0" t="s">
        <v>779</v>
      </c>
      <c r="B752" s="4" t="n">
        <v>45679</v>
      </c>
      <c r="C752" s="0" t="s">
        <v>20</v>
      </c>
      <c r="D752" s="3" t="s">
        <v>21</v>
      </c>
      <c r="E752" s="2" t="n">
        <v>2887</v>
      </c>
      <c r="F752" s="5" t="n">
        <f aca="false">VLOOKUP(D752,Lookup!$A$2:$B$4,2,FALSE())</f>
        <v>0.1</v>
      </c>
      <c r="G752" s="2" t="n">
        <f aca="false">ROUND(E752*F752,2)</f>
        <v>288.7</v>
      </c>
      <c r="H752" s="2" t="n">
        <f aca="false">E752+G752</f>
        <v>3175.7</v>
      </c>
      <c r="I752" s="3" t="s">
        <v>22</v>
      </c>
      <c r="J752" s="0" t="str">
        <f aca="false">_xlfn.XLOOKUP(C752,Departments!$A$2:$A$6,Departments!$B$2:$B$6,"Unknown")</f>
        <v>Finance</v>
      </c>
    </row>
    <row r="753" customFormat="false" ht="15" hidden="false" customHeight="false" outlineLevel="0" collapsed="false">
      <c r="A753" s="0" t="s">
        <v>780</v>
      </c>
      <c r="B753" s="4" t="n">
        <v>45680</v>
      </c>
      <c r="C753" s="0" t="s">
        <v>24</v>
      </c>
      <c r="D753" s="3" t="s">
        <v>25</v>
      </c>
      <c r="E753" s="2" t="n">
        <v>2924</v>
      </c>
      <c r="F753" s="5" t="n">
        <f aca="false">VLOOKUP(D753,Lookup!$A$2:$B$4,2,FALSE())</f>
        <v>0.15</v>
      </c>
      <c r="G753" s="2" t="n">
        <f aca="false">ROUND(E753*F753,2)</f>
        <v>438.6</v>
      </c>
      <c r="H753" s="2" t="n">
        <f aca="false">E753+G753</f>
        <v>3362.6</v>
      </c>
      <c r="I753" s="3" t="s">
        <v>22</v>
      </c>
      <c r="J753" s="0" t="str">
        <f aca="false">_xlfn.XLOOKUP(C753,Departments!$A$2:$A$6,Departments!$B$2:$B$6,"Unknown")</f>
        <v>Quality</v>
      </c>
    </row>
    <row r="754" customFormat="false" ht="15" hidden="false" customHeight="false" outlineLevel="0" collapsed="false">
      <c r="A754" s="0" t="s">
        <v>781</v>
      </c>
      <c r="B754" s="4" t="n">
        <v>45681</v>
      </c>
      <c r="C754" s="0" t="s">
        <v>27</v>
      </c>
      <c r="D754" s="3" t="s">
        <v>28</v>
      </c>
      <c r="E754" s="2" t="n">
        <v>2961</v>
      </c>
      <c r="F754" s="5" t="n">
        <f aca="false">VLOOKUP(D754,Lookup!$A$2:$B$4,2,FALSE())</f>
        <v>0.05</v>
      </c>
      <c r="G754" s="2" t="n">
        <f aca="false">ROUND(E754*F754,2)</f>
        <v>148.05</v>
      </c>
      <c r="H754" s="2" t="n">
        <f aca="false">E754+G754</f>
        <v>3109.05</v>
      </c>
      <c r="I754" s="3" t="s">
        <v>22</v>
      </c>
      <c r="J754" s="0" t="str">
        <f aca="false">_xlfn.XLOOKUP(C754,Departments!$A$2:$A$6,Departments!$B$2:$B$6,"Unknown")</f>
        <v>Human Resources</v>
      </c>
    </row>
    <row r="755" customFormat="false" ht="15" hidden="false" customHeight="false" outlineLevel="0" collapsed="false">
      <c r="A755" s="0" t="s">
        <v>782</v>
      </c>
      <c r="B755" s="4" t="n">
        <v>45682</v>
      </c>
      <c r="C755" s="0" t="s">
        <v>30</v>
      </c>
      <c r="D755" s="3" t="s">
        <v>21</v>
      </c>
      <c r="E755" s="2" t="n">
        <v>2998</v>
      </c>
      <c r="F755" s="5" t="n">
        <f aca="false">VLOOKUP(D755,Lookup!$A$2:$B$4,2,FALSE())</f>
        <v>0.1</v>
      </c>
      <c r="G755" s="2" t="n">
        <f aca="false">ROUND(E755*F755,2)</f>
        <v>299.8</v>
      </c>
      <c r="H755" s="2" t="n">
        <f aca="false">E755+G755</f>
        <v>3297.8</v>
      </c>
      <c r="I755" s="3" t="s">
        <v>22</v>
      </c>
      <c r="J755" s="0" t="str">
        <f aca="false">_xlfn.XLOOKUP(C755,Departments!$A$2:$A$6,Departments!$B$2:$B$6,"Unknown")</f>
        <v>Technology</v>
      </c>
    </row>
    <row r="756" customFormat="false" ht="15" hidden="false" customHeight="false" outlineLevel="0" collapsed="false">
      <c r="A756" s="0" t="s">
        <v>783</v>
      </c>
      <c r="B756" s="4" t="n">
        <v>45683</v>
      </c>
      <c r="C756" s="0" t="s">
        <v>32</v>
      </c>
      <c r="D756" s="3" t="s">
        <v>25</v>
      </c>
      <c r="E756" s="2" t="n">
        <v>3035</v>
      </c>
      <c r="F756" s="5" t="n">
        <f aca="false">VLOOKUP(D756,Lookup!$A$2:$B$4,2,FALSE())</f>
        <v>0.15</v>
      </c>
      <c r="G756" s="2" t="n">
        <f aca="false">ROUND(E756*F756,2)</f>
        <v>455.25</v>
      </c>
      <c r="H756" s="2" t="n">
        <f aca="false">E756+G756</f>
        <v>3490.25</v>
      </c>
      <c r="I756" s="3" t="s">
        <v>22</v>
      </c>
      <c r="J756" s="0" t="str">
        <f aca="false">_xlfn.XLOOKUP(C756,Departments!$A$2:$A$6,Departments!$B$2:$B$6,"Unknown")</f>
        <v>Operations</v>
      </c>
    </row>
    <row r="757" customFormat="false" ht="15" hidden="false" customHeight="false" outlineLevel="0" collapsed="false">
      <c r="A757" s="0" t="s">
        <v>784</v>
      </c>
      <c r="B757" s="4" t="n">
        <v>45684</v>
      </c>
      <c r="C757" s="0" t="s">
        <v>20</v>
      </c>
      <c r="D757" s="3" t="s">
        <v>28</v>
      </c>
      <c r="E757" s="2" t="n">
        <v>3072</v>
      </c>
      <c r="F757" s="5" t="n">
        <f aca="false">VLOOKUP(D757,Lookup!$A$2:$B$4,2,FALSE())</f>
        <v>0.05</v>
      </c>
      <c r="G757" s="2" t="n">
        <f aca="false">ROUND(E757*F757,2)</f>
        <v>153.6</v>
      </c>
      <c r="H757" s="2" t="n">
        <f aca="false">E757+G757</f>
        <v>3225.6</v>
      </c>
      <c r="I757" s="3" t="s">
        <v>35</v>
      </c>
      <c r="J757" s="0" t="str">
        <f aca="false">_xlfn.XLOOKUP(C757,Departments!$A$2:$A$6,Departments!$B$2:$B$6,"Unknown")</f>
        <v>Finance</v>
      </c>
    </row>
    <row r="758" customFormat="false" ht="15" hidden="false" customHeight="false" outlineLevel="0" collapsed="false">
      <c r="A758" s="0" t="s">
        <v>785</v>
      </c>
      <c r="B758" s="4" t="n">
        <v>45685</v>
      </c>
      <c r="C758" s="0" t="s">
        <v>24</v>
      </c>
      <c r="D758" s="3" t="s">
        <v>21</v>
      </c>
      <c r="E758" s="2" t="n">
        <v>3109</v>
      </c>
      <c r="F758" s="5" t="n">
        <f aca="false">VLOOKUP(D758,Lookup!$A$2:$B$4,2,FALSE())</f>
        <v>0.1</v>
      </c>
      <c r="G758" s="2" t="n">
        <f aca="false">ROUND(E758*F758,2)</f>
        <v>310.9</v>
      </c>
      <c r="H758" s="2" t="n">
        <f aca="false">E758+G758</f>
        <v>3419.9</v>
      </c>
      <c r="I758" s="3" t="s">
        <v>22</v>
      </c>
      <c r="J758" s="0" t="str">
        <f aca="false">_xlfn.XLOOKUP(C758,Departments!$A$2:$A$6,Departments!$B$2:$B$6,"Unknown")</f>
        <v>Quality</v>
      </c>
    </row>
    <row r="759" customFormat="false" ht="15" hidden="false" customHeight="false" outlineLevel="0" collapsed="false">
      <c r="A759" s="0" t="s">
        <v>786</v>
      </c>
      <c r="B759" s="4" t="n">
        <v>45686</v>
      </c>
      <c r="C759" s="0" t="s">
        <v>27</v>
      </c>
      <c r="D759" s="3" t="s">
        <v>25</v>
      </c>
      <c r="E759" s="2" t="n">
        <v>3146</v>
      </c>
      <c r="F759" s="5" t="n">
        <f aca="false">VLOOKUP(D759,Lookup!$A$2:$B$4,2,FALSE())</f>
        <v>0.15</v>
      </c>
      <c r="G759" s="2" t="n">
        <f aca="false">ROUND(E759*F759,2)</f>
        <v>471.9</v>
      </c>
      <c r="H759" s="2" t="n">
        <f aca="false">E759+G759</f>
        <v>3617.9</v>
      </c>
      <c r="I759" s="3" t="s">
        <v>22</v>
      </c>
      <c r="J759" s="0" t="str">
        <f aca="false">_xlfn.XLOOKUP(C759,Departments!$A$2:$A$6,Departments!$B$2:$B$6,"Unknown")</f>
        <v>Human Resources</v>
      </c>
    </row>
    <row r="760" customFormat="false" ht="15" hidden="false" customHeight="false" outlineLevel="0" collapsed="false">
      <c r="A760" s="0" t="s">
        <v>787</v>
      </c>
      <c r="B760" s="4" t="n">
        <v>45687</v>
      </c>
      <c r="C760" s="0" t="s">
        <v>30</v>
      </c>
      <c r="D760" s="3" t="s">
        <v>28</v>
      </c>
      <c r="E760" s="2" t="n">
        <v>3183</v>
      </c>
      <c r="F760" s="5" t="n">
        <f aca="false">VLOOKUP(D760,Lookup!$A$2:$B$4,2,FALSE())</f>
        <v>0.05</v>
      </c>
      <c r="G760" s="2" t="n">
        <f aca="false">ROUND(E760*F760,2)</f>
        <v>159.15</v>
      </c>
      <c r="H760" s="2" t="n">
        <f aca="false">E760+G760</f>
        <v>3342.15</v>
      </c>
      <c r="I760" s="3" t="s">
        <v>22</v>
      </c>
      <c r="J760" s="0" t="str">
        <f aca="false">_xlfn.XLOOKUP(C760,Departments!$A$2:$A$6,Departments!$B$2:$B$6,"Unknown")</f>
        <v>Technology</v>
      </c>
    </row>
    <row r="761" customFormat="false" ht="15" hidden="false" customHeight="false" outlineLevel="0" collapsed="false">
      <c r="A761" s="0" t="s">
        <v>788</v>
      </c>
      <c r="B761" s="4" t="n">
        <v>45688</v>
      </c>
      <c r="C761" s="0" t="s">
        <v>32</v>
      </c>
      <c r="D761" s="3" t="s">
        <v>21</v>
      </c>
      <c r="E761" s="2" t="n">
        <v>3220</v>
      </c>
      <c r="F761" s="5" t="n">
        <f aca="false">VLOOKUP(D761,Lookup!$A$2:$B$4,2,FALSE())</f>
        <v>0.1</v>
      </c>
      <c r="G761" s="2" t="n">
        <f aca="false">ROUND(E761*F761,2)</f>
        <v>322</v>
      </c>
      <c r="H761" s="2" t="n">
        <f aca="false">E761+G761</f>
        <v>3542</v>
      </c>
      <c r="I761" s="3" t="s">
        <v>22</v>
      </c>
      <c r="J761" s="0" t="str">
        <f aca="false">_xlfn.XLOOKUP(C761,Departments!$A$2:$A$6,Departments!$B$2:$B$6,"Unknown")</f>
        <v>Operations</v>
      </c>
    </row>
    <row r="762" customFormat="false" ht="15" hidden="false" customHeight="false" outlineLevel="0" collapsed="false">
      <c r="A762" s="0" t="s">
        <v>789</v>
      </c>
      <c r="B762" s="4" t="n">
        <v>45689</v>
      </c>
      <c r="C762" s="0" t="s">
        <v>20</v>
      </c>
      <c r="D762" s="3" t="s">
        <v>25</v>
      </c>
      <c r="E762" s="2" t="n">
        <v>3257</v>
      </c>
      <c r="F762" s="5" t="n">
        <f aca="false">VLOOKUP(D762,Lookup!$A$2:$B$4,2,FALSE())</f>
        <v>0.15</v>
      </c>
      <c r="G762" s="2" t="n">
        <f aca="false">ROUND(E762*F762,2)</f>
        <v>488.55</v>
      </c>
      <c r="H762" s="2" t="n">
        <f aca="false">E762+G762</f>
        <v>3745.55</v>
      </c>
      <c r="I762" s="3" t="s">
        <v>22</v>
      </c>
      <c r="J762" s="0" t="str">
        <f aca="false">_xlfn.XLOOKUP(C762,Departments!$A$2:$A$6,Departments!$B$2:$B$6,"Unknown")</f>
        <v>Finance</v>
      </c>
    </row>
    <row r="763" customFormat="false" ht="15" hidden="false" customHeight="false" outlineLevel="0" collapsed="false">
      <c r="A763" s="0" t="s">
        <v>790</v>
      </c>
      <c r="B763" s="4" t="n">
        <v>45690</v>
      </c>
      <c r="C763" s="0" t="s">
        <v>24</v>
      </c>
      <c r="D763" s="3" t="s">
        <v>28</v>
      </c>
      <c r="E763" s="2" t="n">
        <v>3294</v>
      </c>
      <c r="F763" s="5" t="n">
        <f aca="false">VLOOKUP(D763,Lookup!$A$2:$B$4,2,FALSE())</f>
        <v>0.05</v>
      </c>
      <c r="G763" s="2" t="n">
        <f aca="false">ROUND(E763*F763,2)</f>
        <v>164.7</v>
      </c>
      <c r="H763" s="2" t="n">
        <f aca="false">E763+G763</f>
        <v>3458.7</v>
      </c>
      <c r="I763" s="3" t="s">
        <v>22</v>
      </c>
      <c r="J763" s="0" t="str">
        <f aca="false">_xlfn.XLOOKUP(C763,Departments!$A$2:$A$6,Departments!$B$2:$B$6,"Unknown")</f>
        <v>Quality</v>
      </c>
    </row>
    <row r="764" customFormat="false" ht="15" hidden="false" customHeight="false" outlineLevel="0" collapsed="false">
      <c r="A764" s="0" t="s">
        <v>791</v>
      </c>
      <c r="B764" s="4" t="n">
        <v>45691</v>
      </c>
      <c r="C764" s="0" t="s">
        <v>27</v>
      </c>
      <c r="D764" s="3" t="s">
        <v>21</v>
      </c>
      <c r="E764" s="2" t="n">
        <v>3331</v>
      </c>
      <c r="F764" s="5" t="n">
        <f aca="false">VLOOKUP(D764,Lookup!$A$2:$B$4,2,FALSE())</f>
        <v>0.1</v>
      </c>
      <c r="G764" s="2" t="n">
        <f aca="false">ROUND(E764*F764,2)</f>
        <v>333.1</v>
      </c>
      <c r="H764" s="2" t="n">
        <f aca="false">E764+G764</f>
        <v>3664.1</v>
      </c>
      <c r="I764" s="3" t="s">
        <v>35</v>
      </c>
      <c r="J764" s="0" t="str">
        <f aca="false">_xlfn.XLOOKUP(C764,Departments!$A$2:$A$6,Departments!$B$2:$B$6,"Unknown")</f>
        <v>Human Resources</v>
      </c>
    </row>
    <row r="765" customFormat="false" ht="15" hidden="false" customHeight="false" outlineLevel="0" collapsed="false">
      <c r="A765" s="0" t="s">
        <v>792</v>
      </c>
      <c r="B765" s="4" t="n">
        <v>45692</v>
      </c>
      <c r="C765" s="0" t="s">
        <v>30</v>
      </c>
      <c r="D765" s="3" t="s">
        <v>25</v>
      </c>
      <c r="E765" s="2" t="n">
        <v>3368</v>
      </c>
      <c r="F765" s="5" t="n">
        <f aca="false">VLOOKUP(D765,Lookup!$A$2:$B$4,2,FALSE())</f>
        <v>0.15</v>
      </c>
      <c r="G765" s="2" t="n">
        <f aca="false">ROUND(E765*F765,2)</f>
        <v>505.2</v>
      </c>
      <c r="H765" s="2" t="n">
        <f aca="false">E765+G765</f>
        <v>3873.2</v>
      </c>
      <c r="I765" s="3" t="s">
        <v>22</v>
      </c>
      <c r="J765" s="0" t="str">
        <f aca="false">_xlfn.XLOOKUP(C765,Departments!$A$2:$A$6,Departments!$B$2:$B$6,"Unknown")</f>
        <v>Technology</v>
      </c>
    </row>
    <row r="766" customFormat="false" ht="15" hidden="false" customHeight="false" outlineLevel="0" collapsed="false">
      <c r="A766" s="0" t="s">
        <v>793</v>
      </c>
      <c r="B766" s="4" t="n">
        <v>45693</v>
      </c>
      <c r="C766" s="0" t="s">
        <v>32</v>
      </c>
      <c r="D766" s="3" t="s">
        <v>28</v>
      </c>
      <c r="E766" s="2" t="n">
        <v>3405</v>
      </c>
      <c r="F766" s="5" t="n">
        <f aca="false">VLOOKUP(D766,Lookup!$A$2:$B$4,2,FALSE())</f>
        <v>0.05</v>
      </c>
      <c r="G766" s="2" t="n">
        <f aca="false">ROUND(E766*F766,2)</f>
        <v>170.25</v>
      </c>
      <c r="H766" s="2" t="n">
        <f aca="false">E766+G766</f>
        <v>3575.25</v>
      </c>
      <c r="I766" s="3" t="s">
        <v>22</v>
      </c>
      <c r="J766" s="0" t="str">
        <f aca="false">_xlfn.XLOOKUP(C766,Departments!$A$2:$A$6,Departments!$B$2:$B$6,"Unknown")</f>
        <v>Operations</v>
      </c>
    </row>
    <row r="767" customFormat="false" ht="15" hidden="false" customHeight="false" outlineLevel="0" collapsed="false">
      <c r="A767" s="0" t="s">
        <v>794</v>
      </c>
      <c r="B767" s="4" t="n">
        <v>45694</v>
      </c>
      <c r="C767" s="0" t="s">
        <v>20</v>
      </c>
      <c r="D767" s="3" t="s">
        <v>21</v>
      </c>
      <c r="E767" s="2" t="n">
        <v>3442</v>
      </c>
      <c r="F767" s="5" t="n">
        <f aca="false">VLOOKUP(D767,Lookup!$A$2:$B$4,2,FALSE())</f>
        <v>0.1</v>
      </c>
      <c r="G767" s="2" t="n">
        <f aca="false">ROUND(E767*F767,2)</f>
        <v>344.2</v>
      </c>
      <c r="H767" s="2" t="n">
        <f aca="false">E767+G767</f>
        <v>3786.2</v>
      </c>
      <c r="I767" s="3" t="s">
        <v>22</v>
      </c>
      <c r="J767" s="0" t="str">
        <f aca="false">_xlfn.XLOOKUP(C767,Departments!$A$2:$A$6,Departments!$B$2:$B$6,"Unknown")</f>
        <v>Finance</v>
      </c>
    </row>
    <row r="768" customFormat="false" ht="15" hidden="false" customHeight="false" outlineLevel="0" collapsed="false">
      <c r="A768" s="0" t="s">
        <v>795</v>
      </c>
      <c r="B768" s="4" t="n">
        <v>45695</v>
      </c>
      <c r="C768" s="0" t="s">
        <v>24</v>
      </c>
      <c r="D768" s="3" t="s">
        <v>25</v>
      </c>
      <c r="E768" s="2" t="n">
        <v>3479</v>
      </c>
      <c r="F768" s="5" t="n">
        <f aca="false">VLOOKUP(D768,Lookup!$A$2:$B$4,2,FALSE())</f>
        <v>0.15</v>
      </c>
      <c r="G768" s="2" t="n">
        <f aca="false">ROUND(E768*F768,2)</f>
        <v>521.85</v>
      </c>
      <c r="H768" s="2" t="n">
        <f aca="false">E768+G768</f>
        <v>4000.85</v>
      </c>
      <c r="I768" s="3" t="s">
        <v>22</v>
      </c>
      <c r="J768" s="0" t="str">
        <f aca="false">_xlfn.XLOOKUP(C768,Departments!$A$2:$A$6,Departments!$B$2:$B$6,"Unknown")</f>
        <v>Quality</v>
      </c>
    </row>
    <row r="769" customFormat="false" ht="15" hidden="false" customHeight="false" outlineLevel="0" collapsed="false">
      <c r="A769" s="0" t="s">
        <v>796</v>
      </c>
      <c r="B769" s="4" t="n">
        <v>45696</v>
      </c>
      <c r="C769" s="0" t="s">
        <v>27</v>
      </c>
      <c r="D769" s="3" t="s">
        <v>28</v>
      </c>
      <c r="E769" s="2" t="n">
        <v>3516</v>
      </c>
      <c r="F769" s="5" t="n">
        <f aca="false">VLOOKUP(D769,Lookup!$A$2:$B$4,2,FALSE())</f>
        <v>0.05</v>
      </c>
      <c r="G769" s="2" t="n">
        <f aca="false">ROUND(E769*F769,2)</f>
        <v>175.8</v>
      </c>
      <c r="H769" s="2" t="n">
        <f aca="false">E769+G769</f>
        <v>3691.8</v>
      </c>
      <c r="I769" s="3" t="s">
        <v>22</v>
      </c>
      <c r="J769" s="0" t="str">
        <f aca="false">_xlfn.XLOOKUP(C769,Departments!$A$2:$A$6,Departments!$B$2:$B$6,"Unknown")</f>
        <v>Human Resources</v>
      </c>
    </row>
    <row r="770" customFormat="false" ht="15" hidden="false" customHeight="false" outlineLevel="0" collapsed="false">
      <c r="A770" s="0" t="s">
        <v>797</v>
      </c>
      <c r="B770" s="4" t="n">
        <v>45697</v>
      </c>
      <c r="C770" s="0" t="s">
        <v>30</v>
      </c>
      <c r="D770" s="3" t="s">
        <v>21</v>
      </c>
      <c r="E770" s="2" t="n">
        <v>3553</v>
      </c>
      <c r="F770" s="5" t="n">
        <f aca="false">VLOOKUP(D770,Lookup!$A$2:$B$4,2,FALSE())</f>
        <v>0.1</v>
      </c>
      <c r="G770" s="2" t="n">
        <f aca="false">ROUND(E770*F770,2)</f>
        <v>355.3</v>
      </c>
      <c r="H770" s="2" t="n">
        <f aca="false">E770+G770</f>
        <v>3908.3</v>
      </c>
      <c r="I770" s="3" t="s">
        <v>22</v>
      </c>
      <c r="J770" s="0" t="str">
        <f aca="false">_xlfn.XLOOKUP(C770,Departments!$A$2:$A$6,Departments!$B$2:$B$6,"Unknown")</f>
        <v>Technology</v>
      </c>
    </row>
    <row r="771" customFormat="false" ht="15" hidden="false" customHeight="false" outlineLevel="0" collapsed="false">
      <c r="A771" s="0" t="s">
        <v>798</v>
      </c>
      <c r="B771" s="4" t="n">
        <v>45698</v>
      </c>
      <c r="C771" s="0" t="s">
        <v>32</v>
      </c>
      <c r="D771" s="3" t="s">
        <v>25</v>
      </c>
      <c r="E771" s="2" t="n">
        <v>3590</v>
      </c>
      <c r="F771" s="5" t="n">
        <f aca="false">VLOOKUP(D771,Lookup!$A$2:$B$4,2,FALSE())</f>
        <v>0.15</v>
      </c>
      <c r="G771" s="2" t="n">
        <f aca="false">ROUND(E771*F771,2)</f>
        <v>538.5</v>
      </c>
      <c r="H771" s="2" t="n">
        <f aca="false">E771+G771</f>
        <v>4128.5</v>
      </c>
      <c r="I771" s="3" t="s">
        <v>35</v>
      </c>
      <c r="J771" s="0" t="str">
        <f aca="false">_xlfn.XLOOKUP(C771,Departments!$A$2:$A$6,Departments!$B$2:$B$6,"Unknown")</f>
        <v>Operations</v>
      </c>
    </row>
    <row r="772" customFormat="false" ht="15" hidden="false" customHeight="false" outlineLevel="0" collapsed="false">
      <c r="A772" s="0" t="s">
        <v>799</v>
      </c>
      <c r="B772" s="4" t="n">
        <v>45699</v>
      </c>
      <c r="C772" s="0" t="s">
        <v>20</v>
      </c>
      <c r="D772" s="3" t="s">
        <v>28</v>
      </c>
      <c r="E772" s="2" t="n">
        <v>3627</v>
      </c>
      <c r="F772" s="5" t="n">
        <f aca="false">VLOOKUP(D772,Lookup!$A$2:$B$4,2,FALSE())</f>
        <v>0.05</v>
      </c>
      <c r="G772" s="2" t="n">
        <f aca="false">ROUND(E772*F772,2)</f>
        <v>181.35</v>
      </c>
      <c r="H772" s="2" t="n">
        <f aca="false">E772+G772</f>
        <v>3808.35</v>
      </c>
      <c r="I772" s="3" t="s">
        <v>22</v>
      </c>
      <c r="J772" s="0" t="str">
        <f aca="false">_xlfn.XLOOKUP(C772,Departments!$A$2:$A$6,Departments!$B$2:$B$6,"Unknown")</f>
        <v>Finance</v>
      </c>
    </row>
    <row r="773" customFormat="false" ht="15" hidden="false" customHeight="false" outlineLevel="0" collapsed="false">
      <c r="A773" s="0" t="s">
        <v>800</v>
      </c>
      <c r="B773" s="4" t="n">
        <v>45700</v>
      </c>
      <c r="C773" s="0" t="s">
        <v>24</v>
      </c>
      <c r="D773" s="3" t="s">
        <v>21</v>
      </c>
      <c r="E773" s="2" t="n">
        <v>3664</v>
      </c>
      <c r="F773" s="5" t="n">
        <f aca="false">VLOOKUP(D773,Lookup!$A$2:$B$4,2,FALSE())</f>
        <v>0.1</v>
      </c>
      <c r="G773" s="2" t="n">
        <f aca="false">ROUND(E773*F773,2)</f>
        <v>366.4</v>
      </c>
      <c r="H773" s="2" t="n">
        <f aca="false">E773+G773</f>
        <v>4030.4</v>
      </c>
      <c r="I773" s="3" t="s">
        <v>22</v>
      </c>
      <c r="J773" s="0" t="str">
        <f aca="false">_xlfn.XLOOKUP(C773,Departments!$A$2:$A$6,Departments!$B$2:$B$6,"Unknown")</f>
        <v>Quality</v>
      </c>
    </row>
    <row r="774" customFormat="false" ht="15" hidden="false" customHeight="false" outlineLevel="0" collapsed="false">
      <c r="A774" s="0" t="s">
        <v>801</v>
      </c>
      <c r="B774" s="4" t="n">
        <v>45701</v>
      </c>
      <c r="C774" s="0" t="s">
        <v>27</v>
      </c>
      <c r="D774" s="3" t="s">
        <v>25</v>
      </c>
      <c r="E774" s="2" t="n">
        <v>3701</v>
      </c>
      <c r="F774" s="5" t="n">
        <f aca="false">VLOOKUP(D774,Lookup!$A$2:$B$4,2,FALSE())</f>
        <v>0.15</v>
      </c>
      <c r="G774" s="2" t="n">
        <f aca="false">ROUND(E774*F774,2)</f>
        <v>555.15</v>
      </c>
      <c r="H774" s="2" t="n">
        <f aca="false">E774+G774</f>
        <v>4256.15</v>
      </c>
      <c r="I774" s="3" t="s">
        <v>22</v>
      </c>
      <c r="J774" s="0" t="str">
        <f aca="false">_xlfn.XLOOKUP(C774,Departments!$A$2:$A$6,Departments!$B$2:$B$6,"Unknown")</f>
        <v>Human Resources</v>
      </c>
    </row>
    <row r="775" customFormat="false" ht="15" hidden="false" customHeight="false" outlineLevel="0" collapsed="false">
      <c r="A775" s="0" t="s">
        <v>802</v>
      </c>
      <c r="B775" s="4" t="n">
        <v>45702</v>
      </c>
      <c r="C775" s="0" t="s">
        <v>30</v>
      </c>
      <c r="D775" s="3" t="s">
        <v>28</v>
      </c>
      <c r="E775" s="2" t="n">
        <v>3738</v>
      </c>
      <c r="F775" s="5" t="n">
        <f aca="false">VLOOKUP(D775,Lookup!$A$2:$B$4,2,FALSE())</f>
        <v>0.05</v>
      </c>
      <c r="G775" s="2" t="n">
        <f aca="false">ROUND(E775*F775,2)</f>
        <v>186.9</v>
      </c>
      <c r="H775" s="2" t="n">
        <f aca="false">E775+G775</f>
        <v>3924.9</v>
      </c>
      <c r="I775" s="3" t="s">
        <v>22</v>
      </c>
      <c r="J775" s="0" t="str">
        <f aca="false">_xlfn.XLOOKUP(C775,Departments!$A$2:$A$6,Departments!$B$2:$B$6,"Unknown")</f>
        <v>Technology</v>
      </c>
    </row>
    <row r="776" customFormat="false" ht="15" hidden="false" customHeight="false" outlineLevel="0" collapsed="false">
      <c r="A776" s="0" t="s">
        <v>803</v>
      </c>
      <c r="B776" s="4" t="n">
        <v>45703</v>
      </c>
      <c r="C776" s="0" t="s">
        <v>32</v>
      </c>
      <c r="D776" s="3" t="s">
        <v>21</v>
      </c>
      <c r="E776" s="2" t="n">
        <v>3775</v>
      </c>
      <c r="F776" s="5" t="n">
        <f aca="false">VLOOKUP(D776,Lookup!$A$2:$B$4,2,FALSE())</f>
        <v>0.1</v>
      </c>
      <c r="G776" s="2" t="n">
        <f aca="false">ROUND(E776*F776,2)</f>
        <v>377.5</v>
      </c>
      <c r="H776" s="2" t="n">
        <f aca="false">E776+G776</f>
        <v>4152.5</v>
      </c>
      <c r="I776" s="3" t="s">
        <v>22</v>
      </c>
      <c r="J776" s="0" t="str">
        <f aca="false">_xlfn.XLOOKUP(C776,Departments!$A$2:$A$6,Departments!$B$2:$B$6,"Unknown")</f>
        <v>Operations</v>
      </c>
    </row>
    <row r="777" customFormat="false" ht="15" hidden="false" customHeight="false" outlineLevel="0" collapsed="false">
      <c r="A777" s="0" t="s">
        <v>804</v>
      </c>
      <c r="B777" s="4" t="n">
        <v>45704</v>
      </c>
      <c r="C777" s="0" t="s">
        <v>20</v>
      </c>
      <c r="D777" s="3" t="s">
        <v>25</v>
      </c>
      <c r="E777" s="2" t="n">
        <v>3812</v>
      </c>
      <c r="F777" s="5" t="n">
        <f aca="false">VLOOKUP(D777,Lookup!$A$2:$B$4,2,FALSE())</f>
        <v>0.15</v>
      </c>
      <c r="G777" s="2" t="n">
        <f aca="false">ROUND(E777*F777,2)</f>
        <v>571.8</v>
      </c>
      <c r="H777" s="2" t="n">
        <f aca="false">E777+G777</f>
        <v>4383.8</v>
      </c>
      <c r="I777" s="3" t="s">
        <v>22</v>
      </c>
      <c r="J777" s="0" t="str">
        <f aca="false">_xlfn.XLOOKUP(C777,Departments!$A$2:$A$6,Departments!$B$2:$B$6,"Unknown")</f>
        <v>Finance</v>
      </c>
    </row>
    <row r="778" customFormat="false" ht="15" hidden="false" customHeight="false" outlineLevel="0" collapsed="false">
      <c r="A778" s="0" t="s">
        <v>805</v>
      </c>
      <c r="B778" s="4" t="n">
        <v>45705</v>
      </c>
      <c r="C778" s="0" t="s">
        <v>24</v>
      </c>
      <c r="D778" s="3" t="s">
        <v>28</v>
      </c>
      <c r="E778" s="2" t="n">
        <v>3849</v>
      </c>
      <c r="F778" s="5" t="n">
        <f aca="false">VLOOKUP(D778,Lookup!$A$2:$B$4,2,FALSE())</f>
        <v>0.05</v>
      </c>
      <c r="G778" s="2" t="n">
        <f aca="false">ROUND(E778*F778,2)</f>
        <v>192.45</v>
      </c>
      <c r="H778" s="2" t="n">
        <f aca="false">E778+G778</f>
        <v>4041.45</v>
      </c>
      <c r="I778" s="3" t="s">
        <v>35</v>
      </c>
      <c r="J778" s="0" t="str">
        <f aca="false">_xlfn.XLOOKUP(C778,Departments!$A$2:$A$6,Departments!$B$2:$B$6,"Unknown")</f>
        <v>Quality</v>
      </c>
    </row>
    <row r="779" customFormat="false" ht="15" hidden="false" customHeight="false" outlineLevel="0" collapsed="false">
      <c r="A779" s="0" t="s">
        <v>806</v>
      </c>
      <c r="B779" s="4" t="n">
        <v>45706</v>
      </c>
      <c r="C779" s="0" t="s">
        <v>27</v>
      </c>
      <c r="D779" s="3" t="s">
        <v>21</v>
      </c>
      <c r="E779" s="2" t="n">
        <v>3886</v>
      </c>
      <c r="F779" s="5" t="n">
        <f aca="false">VLOOKUP(D779,Lookup!$A$2:$B$4,2,FALSE())</f>
        <v>0.1</v>
      </c>
      <c r="G779" s="2" t="n">
        <f aca="false">ROUND(E779*F779,2)</f>
        <v>388.6</v>
      </c>
      <c r="H779" s="2" t="n">
        <f aca="false">E779+G779</f>
        <v>4274.6</v>
      </c>
      <c r="I779" s="3" t="s">
        <v>22</v>
      </c>
      <c r="J779" s="0" t="str">
        <f aca="false">_xlfn.XLOOKUP(C779,Departments!$A$2:$A$6,Departments!$B$2:$B$6,"Unknown")</f>
        <v>Human Resources</v>
      </c>
    </row>
    <row r="780" customFormat="false" ht="15" hidden="false" customHeight="false" outlineLevel="0" collapsed="false">
      <c r="A780" s="0" t="s">
        <v>807</v>
      </c>
      <c r="B780" s="4" t="n">
        <v>45707</v>
      </c>
      <c r="C780" s="0" t="s">
        <v>30</v>
      </c>
      <c r="D780" s="3" t="s">
        <v>25</v>
      </c>
      <c r="E780" s="2" t="n">
        <v>3923</v>
      </c>
      <c r="F780" s="5" t="n">
        <f aca="false">VLOOKUP(D780,Lookup!$A$2:$B$4,2,FALSE())</f>
        <v>0.15</v>
      </c>
      <c r="G780" s="2" t="n">
        <f aca="false">ROUND(E780*F780,2)</f>
        <v>588.45</v>
      </c>
      <c r="H780" s="2" t="n">
        <f aca="false">E780+G780</f>
        <v>4511.45</v>
      </c>
      <c r="I780" s="3" t="s">
        <v>22</v>
      </c>
      <c r="J780" s="0" t="str">
        <f aca="false">_xlfn.XLOOKUP(C780,Departments!$A$2:$A$6,Departments!$B$2:$B$6,"Unknown")</f>
        <v>Technology</v>
      </c>
    </row>
    <row r="781" customFormat="false" ht="15" hidden="false" customHeight="false" outlineLevel="0" collapsed="false">
      <c r="A781" s="0" t="s">
        <v>808</v>
      </c>
      <c r="B781" s="4" t="n">
        <v>45708</v>
      </c>
      <c r="C781" s="0" t="s">
        <v>32</v>
      </c>
      <c r="D781" s="3" t="s">
        <v>28</v>
      </c>
      <c r="E781" s="2" t="n">
        <v>3960</v>
      </c>
      <c r="F781" s="5" t="n">
        <f aca="false">VLOOKUP(D781,Lookup!$A$2:$B$4,2,FALSE())</f>
        <v>0.05</v>
      </c>
      <c r="G781" s="2" t="n">
        <f aca="false">ROUND(E781*F781,2)</f>
        <v>198</v>
      </c>
      <c r="H781" s="2" t="n">
        <f aca="false">E781+G781</f>
        <v>4158</v>
      </c>
      <c r="I781" s="3" t="s">
        <v>22</v>
      </c>
      <c r="J781" s="0" t="str">
        <f aca="false">_xlfn.XLOOKUP(C781,Departments!$A$2:$A$6,Departments!$B$2:$B$6,"Unknown")</f>
        <v>Operations</v>
      </c>
    </row>
    <row r="782" customFormat="false" ht="15" hidden="false" customHeight="false" outlineLevel="0" collapsed="false">
      <c r="A782" s="0" t="s">
        <v>809</v>
      </c>
      <c r="B782" s="4" t="n">
        <v>45709</v>
      </c>
      <c r="C782" s="0" t="s">
        <v>20</v>
      </c>
      <c r="D782" s="3" t="s">
        <v>21</v>
      </c>
      <c r="E782" s="2" t="n">
        <v>3997</v>
      </c>
      <c r="F782" s="5" t="n">
        <f aca="false">VLOOKUP(D782,Lookup!$A$2:$B$4,2,FALSE())</f>
        <v>0.1</v>
      </c>
      <c r="G782" s="2" t="n">
        <f aca="false">ROUND(E782*F782,2)</f>
        <v>399.7</v>
      </c>
      <c r="H782" s="2" t="n">
        <f aca="false">E782+G782</f>
        <v>4396.7</v>
      </c>
      <c r="I782" s="3" t="s">
        <v>22</v>
      </c>
      <c r="J782" s="0" t="str">
        <f aca="false">_xlfn.XLOOKUP(C782,Departments!$A$2:$A$6,Departments!$B$2:$B$6,"Unknown")</f>
        <v>Finance</v>
      </c>
    </row>
    <row r="783" customFormat="false" ht="15" hidden="false" customHeight="false" outlineLevel="0" collapsed="false">
      <c r="A783" s="0" t="s">
        <v>810</v>
      </c>
      <c r="B783" s="4" t="n">
        <v>45710</v>
      </c>
      <c r="C783" s="0" t="s">
        <v>24</v>
      </c>
      <c r="D783" s="3" t="s">
        <v>25</v>
      </c>
      <c r="E783" s="2" t="n">
        <v>4034</v>
      </c>
      <c r="F783" s="5" t="n">
        <f aca="false">VLOOKUP(D783,Lookup!$A$2:$B$4,2,FALSE())</f>
        <v>0.15</v>
      </c>
      <c r="G783" s="2" t="n">
        <f aca="false">ROUND(E783*F783,2)</f>
        <v>605.1</v>
      </c>
      <c r="H783" s="2" t="n">
        <f aca="false">E783+G783</f>
        <v>4639.1</v>
      </c>
      <c r="I783" s="3" t="s">
        <v>22</v>
      </c>
      <c r="J783" s="0" t="str">
        <f aca="false">_xlfn.XLOOKUP(C783,Departments!$A$2:$A$6,Departments!$B$2:$B$6,"Unknown")</f>
        <v>Quality</v>
      </c>
    </row>
    <row r="784" customFormat="false" ht="15" hidden="false" customHeight="false" outlineLevel="0" collapsed="false">
      <c r="A784" s="0" t="s">
        <v>811</v>
      </c>
      <c r="B784" s="4" t="n">
        <v>45711</v>
      </c>
      <c r="C784" s="0" t="s">
        <v>27</v>
      </c>
      <c r="D784" s="3" t="s">
        <v>28</v>
      </c>
      <c r="E784" s="2" t="n">
        <v>4071</v>
      </c>
      <c r="F784" s="5" t="n">
        <f aca="false">VLOOKUP(D784,Lookup!$A$2:$B$4,2,FALSE())</f>
        <v>0.05</v>
      </c>
      <c r="G784" s="2" t="n">
        <f aca="false">ROUND(E784*F784,2)</f>
        <v>203.55</v>
      </c>
      <c r="H784" s="2" t="n">
        <f aca="false">E784+G784</f>
        <v>4274.55</v>
      </c>
      <c r="I784" s="3" t="s">
        <v>22</v>
      </c>
      <c r="J784" s="0" t="str">
        <f aca="false">_xlfn.XLOOKUP(C784,Departments!$A$2:$A$6,Departments!$B$2:$B$6,"Unknown")</f>
        <v>Human Resources</v>
      </c>
    </row>
    <row r="785" customFormat="false" ht="15" hidden="false" customHeight="false" outlineLevel="0" collapsed="false">
      <c r="A785" s="0" t="s">
        <v>812</v>
      </c>
      <c r="B785" s="4" t="n">
        <v>45712</v>
      </c>
      <c r="C785" s="0" t="s">
        <v>30</v>
      </c>
      <c r="D785" s="3" t="s">
        <v>21</v>
      </c>
      <c r="E785" s="2" t="n">
        <v>4108</v>
      </c>
      <c r="F785" s="5" t="n">
        <f aca="false">VLOOKUP(D785,Lookup!$A$2:$B$4,2,FALSE())</f>
        <v>0.1</v>
      </c>
      <c r="G785" s="2" t="n">
        <f aca="false">ROUND(E785*F785,2)</f>
        <v>410.8</v>
      </c>
      <c r="H785" s="2" t="n">
        <f aca="false">E785+G785</f>
        <v>4518.8</v>
      </c>
      <c r="I785" s="3" t="s">
        <v>35</v>
      </c>
      <c r="J785" s="0" t="str">
        <f aca="false">_xlfn.XLOOKUP(C785,Departments!$A$2:$A$6,Departments!$B$2:$B$6,"Unknown")</f>
        <v>Technology</v>
      </c>
    </row>
    <row r="786" customFormat="false" ht="15" hidden="false" customHeight="false" outlineLevel="0" collapsed="false">
      <c r="A786" s="0" t="s">
        <v>813</v>
      </c>
      <c r="B786" s="4" t="n">
        <v>45713</v>
      </c>
      <c r="C786" s="0" t="s">
        <v>32</v>
      </c>
      <c r="D786" s="3" t="s">
        <v>25</v>
      </c>
      <c r="E786" s="2" t="n">
        <v>4145</v>
      </c>
      <c r="F786" s="5" t="n">
        <f aca="false">VLOOKUP(D786,Lookup!$A$2:$B$4,2,FALSE())</f>
        <v>0.15</v>
      </c>
      <c r="G786" s="2" t="n">
        <f aca="false">ROUND(E786*F786,2)</f>
        <v>621.75</v>
      </c>
      <c r="H786" s="2" t="n">
        <f aca="false">E786+G786</f>
        <v>4766.75</v>
      </c>
      <c r="I786" s="3" t="s">
        <v>22</v>
      </c>
      <c r="J786" s="0" t="str">
        <f aca="false">_xlfn.XLOOKUP(C786,Departments!$A$2:$A$6,Departments!$B$2:$B$6,"Unknown")</f>
        <v>Operations</v>
      </c>
    </row>
    <row r="787" customFormat="false" ht="15" hidden="false" customHeight="false" outlineLevel="0" collapsed="false">
      <c r="A787" s="0" t="s">
        <v>814</v>
      </c>
      <c r="B787" s="4" t="n">
        <v>45714</v>
      </c>
      <c r="C787" s="0" t="s">
        <v>20</v>
      </c>
      <c r="D787" s="3" t="s">
        <v>28</v>
      </c>
      <c r="E787" s="2" t="n">
        <v>4182</v>
      </c>
      <c r="F787" s="5" t="n">
        <f aca="false">VLOOKUP(D787,Lookup!$A$2:$B$4,2,FALSE())</f>
        <v>0.05</v>
      </c>
      <c r="G787" s="2" t="n">
        <f aca="false">ROUND(E787*F787,2)</f>
        <v>209.1</v>
      </c>
      <c r="H787" s="2" t="n">
        <f aca="false">E787+G787</f>
        <v>4391.1</v>
      </c>
      <c r="I787" s="3" t="s">
        <v>22</v>
      </c>
      <c r="J787" s="0" t="str">
        <f aca="false">_xlfn.XLOOKUP(C787,Departments!$A$2:$A$6,Departments!$B$2:$B$6,"Unknown")</f>
        <v>Finance</v>
      </c>
    </row>
    <row r="788" customFormat="false" ht="15" hidden="false" customHeight="false" outlineLevel="0" collapsed="false">
      <c r="A788" s="0" t="s">
        <v>815</v>
      </c>
      <c r="B788" s="4" t="n">
        <v>45715</v>
      </c>
      <c r="C788" s="0" t="s">
        <v>24</v>
      </c>
      <c r="D788" s="3" t="s">
        <v>21</v>
      </c>
      <c r="E788" s="2" t="n">
        <v>4219</v>
      </c>
      <c r="F788" s="5" t="n">
        <f aca="false">VLOOKUP(D788,Lookup!$A$2:$B$4,2,FALSE())</f>
        <v>0.1</v>
      </c>
      <c r="G788" s="2" t="n">
        <f aca="false">ROUND(E788*F788,2)</f>
        <v>421.9</v>
      </c>
      <c r="H788" s="2" t="n">
        <f aca="false">E788+G788</f>
        <v>4640.9</v>
      </c>
      <c r="I788" s="3" t="s">
        <v>22</v>
      </c>
      <c r="J788" s="0" t="str">
        <f aca="false">_xlfn.XLOOKUP(C788,Departments!$A$2:$A$6,Departments!$B$2:$B$6,"Unknown")</f>
        <v>Quality</v>
      </c>
    </row>
    <row r="789" customFormat="false" ht="15" hidden="false" customHeight="false" outlineLevel="0" collapsed="false">
      <c r="A789" s="0" t="s">
        <v>816</v>
      </c>
      <c r="B789" s="4" t="n">
        <v>45716</v>
      </c>
      <c r="C789" s="0" t="s">
        <v>27</v>
      </c>
      <c r="D789" s="3" t="s">
        <v>25</v>
      </c>
      <c r="E789" s="2" t="n">
        <v>4256</v>
      </c>
      <c r="F789" s="5" t="n">
        <f aca="false">VLOOKUP(D789,Lookup!$A$2:$B$4,2,FALSE())</f>
        <v>0.15</v>
      </c>
      <c r="G789" s="2" t="n">
        <f aca="false">ROUND(E789*F789,2)</f>
        <v>638.4</v>
      </c>
      <c r="H789" s="2" t="n">
        <f aca="false">E789+G789</f>
        <v>4894.4</v>
      </c>
      <c r="I789" s="3" t="s">
        <v>22</v>
      </c>
      <c r="J789" s="0" t="str">
        <f aca="false">_xlfn.XLOOKUP(C789,Departments!$A$2:$A$6,Departments!$B$2:$B$6,"Unknown")</f>
        <v>Human Resources</v>
      </c>
    </row>
    <row r="790" customFormat="false" ht="15" hidden="false" customHeight="false" outlineLevel="0" collapsed="false">
      <c r="A790" s="0" t="s">
        <v>817</v>
      </c>
      <c r="B790" s="4" t="n">
        <v>45717</v>
      </c>
      <c r="C790" s="0" t="s">
        <v>30</v>
      </c>
      <c r="D790" s="3" t="s">
        <v>28</v>
      </c>
      <c r="E790" s="2" t="n">
        <v>4293</v>
      </c>
      <c r="F790" s="5" t="n">
        <f aca="false">VLOOKUP(D790,Lookup!$A$2:$B$4,2,FALSE())</f>
        <v>0.05</v>
      </c>
      <c r="G790" s="2" t="n">
        <f aca="false">ROUND(E790*F790,2)</f>
        <v>214.65</v>
      </c>
      <c r="H790" s="2" t="n">
        <f aca="false">E790+G790</f>
        <v>4507.65</v>
      </c>
      <c r="I790" s="3" t="s">
        <v>22</v>
      </c>
      <c r="J790" s="0" t="str">
        <f aca="false">_xlfn.XLOOKUP(C790,Departments!$A$2:$A$6,Departments!$B$2:$B$6,"Unknown")</f>
        <v>Technology</v>
      </c>
    </row>
    <row r="791" customFormat="false" ht="15" hidden="false" customHeight="false" outlineLevel="0" collapsed="false">
      <c r="A791" s="0" t="s">
        <v>818</v>
      </c>
      <c r="B791" s="4" t="n">
        <v>45718</v>
      </c>
      <c r="C791" s="0" t="s">
        <v>32</v>
      </c>
      <c r="D791" s="3" t="s">
        <v>21</v>
      </c>
      <c r="E791" s="2" t="n">
        <v>4330</v>
      </c>
      <c r="F791" s="5" t="n">
        <f aca="false">VLOOKUP(D791,Lookup!$A$2:$B$4,2,FALSE())</f>
        <v>0.1</v>
      </c>
      <c r="G791" s="2" t="n">
        <f aca="false">ROUND(E791*F791,2)</f>
        <v>433</v>
      </c>
      <c r="H791" s="2" t="n">
        <f aca="false">E791+G791</f>
        <v>4763</v>
      </c>
      <c r="I791" s="3" t="s">
        <v>22</v>
      </c>
      <c r="J791" s="0" t="str">
        <f aca="false">_xlfn.XLOOKUP(C791,Departments!$A$2:$A$6,Departments!$B$2:$B$6,"Unknown")</f>
        <v>Operations</v>
      </c>
    </row>
    <row r="792" customFormat="false" ht="15" hidden="false" customHeight="false" outlineLevel="0" collapsed="false">
      <c r="A792" s="0" t="s">
        <v>819</v>
      </c>
      <c r="B792" s="4" t="n">
        <v>45719</v>
      </c>
      <c r="C792" s="0" t="s">
        <v>20</v>
      </c>
      <c r="D792" s="3" t="s">
        <v>25</v>
      </c>
      <c r="E792" s="2" t="n">
        <v>4367</v>
      </c>
      <c r="F792" s="5" t="n">
        <f aca="false">VLOOKUP(D792,Lookup!$A$2:$B$4,2,FALSE())</f>
        <v>0.15</v>
      </c>
      <c r="G792" s="2" t="n">
        <f aca="false">ROUND(E792*F792,2)</f>
        <v>655.05</v>
      </c>
      <c r="H792" s="2" t="n">
        <f aca="false">E792+G792</f>
        <v>5022.05</v>
      </c>
      <c r="I792" s="3" t="s">
        <v>35</v>
      </c>
      <c r="J792" s="0" t="str">
        <f aca="false">_xlfn.XLOOKUP(C792,Departments!$A$2:$A$6,Departments!$B$2:$B$6,"Unknown")</f>
        <v>Finance</v>
      </c>
    </row>
    <row r="793" customFormat="false" ht="15" hidden="false" customHeight="false" outlineLevel="0" collapsed="false">
      <c r="A793" s="0" t="s">
        <v>820</v>
      </c>
      <c r="B793" s="4" t="n">
        <v>45720</v>
      </c>
      <c r="C793" s="0" t="s">
        <v>24</v>
      </c>
      <c r="D793" s="3" t="s">
        <v>28</v>
      </c>
      <c r="E793" s="2" t="n">
        <v>4404</v>
      </c>
      <c r="F793" s="5" t="n">
        <f aca="false">VLOOKUP(D793,Lookup!$A$2:$B$4,2,FALSE())</f>
        <v>0.05</v>
      </c>
      <c r="G793" s="2" t="n">
        <f aca="false">ROUND(E793*F793,2)</f>
        <v>220.2</v>
      </c>
      <c r="H793" s="2" t="n">
        <f aca="false">E793+G793</f>
        <v>4624.2</v>
      </c>
      <c r="I793" s="3" t="s">
        <v>22</v>
      </c>
      <c r="J793" s="0" t="str">
        <f aca="false">_xlfn.XLOOKUP(C793,Departments!$A$2:$A$6,Departments!$B$2:$B$6,"Unknown")</f>
        <v>Quality</v>
      </c>
    </row>
    <row r="794" customFormat="false" ht="15" hidden="false" customHeight="false" outlineLevel="0" collapsed="false">
      <c r="A794" s="0" t="s">
        <v>821</v>
      </c>
      <c r="B794" s="4" t="n">
        <v>45721</v>
      </c>
      <c r="C794" s="0" t="s">
        <v>27</v>
      </c>
      <c r="D794" s="3" t="s">
        <v>21</v>
      </c>
      <c r="E794" s="2" t="n">
        <v>4441</v>
      </c>
      <c r="F794" s="5" t="n">
        <f aca="false">VLOOKUP(D794,Lookup!$A$2:$B$4,2,FALSE())</f>
        <v>0.1</v>
      </c>
      <c r="G794" s="2" t="n">
        <f aca="false">ROUND(E794*F794,2)</f>
        <v>444.1</v>
      </c>
      <c r="H794" s="2" t="n">
        <f aca="false">E794+G794</f>
        <v>4885.1</v>
      </c>
      <c r="I794" s="3" t="s">
        <v>22</v>
      </c>
      <c r="J794" s="0" t="str">
        <f aca="false">_xlfn.XLOOKUP(C794,Departments!$A$2:$A$6,Departments!$B$2:$B$6,"Unknown")</f>
        <v>Human Resources</v>
      </c>
    </row>
    <row r="795" customFormat="false" ht="15" hidden="false" customHeight="false" outlineLevel="0" collapsed="false">
      <c r="A795" s="0" t="s">
        <v>822</v>
      </c>
      <c r="B795" s="4" t="n">
        <v>45722</v>
      </c>
      <c r="C795" s="0" t="s">
        <v>30</v>
      </c>
      <c r="D795" s="3" t="s">
        <v>25</v>
      </c>
      <c r="E795" s="2" t="n">
        <v>4478</v>
      </c>
      <c r="F795" s="5" t="n">
        <f aca="false">VLOOKUP(D795,Lookup!$A$2:$B$4,2,FALSE())</f>
        <v>0.15</v>
      </c>
      <c r="G795" s="2" t="n">
        <f aca="false">ROUND(E795*F795,2)</f>
        <v>671.7</v>
      </c>
      <c r="H795" s="2" t="n">
        <f aca="false">E795+G795</f>
        <v>5149.7</v>
      </c>
      <c r="I795" s="3" t="s">
        <v>22</v>
      </c>
      <c r="J795" s="0" t="str">
        <f aca="false">_xlfn.XLOOKUP(C795,Departments!$A$2:$A$6,Departments!$B$2:$B$6,"Unknown")</f>
        <v>Technology</v>
      </c>
    </row>
    <row r="796" customFormat="false" ht="15" hidden="false" customHeight="false" outlineLevel="0" collapsed="false">
      <c r="A796" s="0" t="s">
        <v>823</v>
      </c>
      <c r="B796" s="4" t="n">
        <v>45723</v>
      </c>
      <c r="C796" s="0" t="s">
        <v>32</v>
      </c>
      <c r="D796" s="3" t="s">
        <v>28</v>
      </c>
      <c r="E796" s="2" t="n">
        <v>4515</v>
      </c>
      <c r="F796" s="5" t="n">
        <f aca="false">VLOOKUP(D796,Lookup!$A$2:$B$4,2,FALSE())</f>
        <v>0.05</v>
      </c>
      <c r="G796" s="2" t="n">
        <f aca="false">ROUND(E796*F796,2)</f>
        <v>225.75</v>
      </c>
      <c r="H796" s="2" t="n">
        <f aca="false">E796+G796</f>
        <v>4740.75</v>
      </c>
      <c r="I796" s="3" t="s">
        <v>22</v>
      </c>
      <c r="J796" s="0" t="str">
        <f aca="false">_xlfn.XLOOKUP(C796,Departments!$A$2:$A$6,Departments!$B$2:$B$6,"Unknown")</f>
        <v>Operations</v>
      </c>
    </row>
    <row r="797" customFormat="false" ht="15" hidden="false" customHeight="false" outlineLevel="0" collapsed="false">
      <c r="A797" s="0" t="s">
        <v>824</v>
      </c>
      <c r="B797" s="4" t="n">
        <v>45724</v>
      </c>
      <c r="C797" s="0" t="s">
        <v>20</v>
      </c>
      <c r="D797" s="3" t="s">
        <v>21</v>
      </c>
      <c r="E797" s="2" t="n">
        <v>4552</v>
      </c>
      <c r="F797" s="5" t="n">
        <f aca="false">VLOOKUP(D797,Lookup!$A$2:$B$4,2,FALSE())</f>
        <v>0.1</v>
      </c>
      <c r="G797" s="2" t="n">
        <f aca="false">ROUND(E797*F797,2)</f>
        <v>455.2</v>
      </c>
      <c r="H797" s="2" t="n">
        <f aca="false">E797+G797</f>
        <v>5007.2</v>
      </c>
      <c r="I797" s="3" t="s">
        <v>22</v>
      </c>
      <c r="J797" s="0" t="str">
        <f aca="false">_xlfn.XLOOKUP(C797,Departments!$A$2:$A$6,Departments!$B$2:$B$6,"Unknown")</f>
        <v>Finance</v>
      </c>
    </row>
    <row r="798" customFormat="false" ht="15" hidden="false" customHeight="false" outlineLevel="0" collapsed="false">
      <c r="A798" s="0" t="s">
        <v>825</v>
      </c>
      <c r="B798" s="4" t="n">
        <v>45725</v>
      </c>
      <c r="C798" s="0" t="s">
        <v>24</v>
      </c>
      <c r="D798" s="3" t="s">
        <v>25</v>
      </c>
      <c r="E798" s="2" t="n">
        <v>4589</v>
      </c>
      <c r="F798" s="5" t="n">
        <f aca="false">VLOOKUP(D798,Lookup!$A$2:$B$4,2,FALSE())</f>
        <v>0.15</v>
      </c>
      <c r="G798" s="2" t="n">
        <f aca="false">ROUND(E798*F798,2)</f>
        <v>688.35</v>
      </c>
      <c r="H798" s="2" t="n">
        <f aca="false">E798+G798</f>
        <v>5277.35</v>
      </c>
      <c r="I798" s="3" t="s">
        <v>22</v>
      </c>
      <c r="J798" s="0" t="str">
        <f aca="false">_xlfn.XLOOKUP(C798,Departments!$A$2:$A$6,Departments!$B$2:$B$6,"Unknown")</f>
        <v>Quality</v>
      </c>
    </row>
    <row r="799" customFormat="false" ht="15" hidden="false" customHeight="false" outlineLevel="0" collapsed="false">
      <c r="A799" s="0" t="s">
        <v>826</v>
      </c>
      <c r="B799" s="4" t="n">
        <v>45726</v>
      </c>
      <c r="C799" s="0" t="s">
        <v>27</v>
      </c>
      <c r="D799" s="3" t="s">
        <v>28</v>
      </c>
      <c r="E799" s="2" t="n">
        <v>4626</v>
      </c>
      <c r="F799" s="5" t="n">
        <f aca="false">VLOOKUP(D799,Lookup!$A$2:$B$4,2,FALSE())</f>
        <v>0.05</v>
      </c>
      <c r="G799" s="2" t="n">
        <f aca="false">ROUND(E799*F799,2)</f>
        <v>231.3</v>
      </c>
      <c r="H799" s="2" t="n">
        <f aca="false">E799+G799</f>
        <v>4857.3</v>
      </c>
      <c r="I799" s="3" t="s">
        <v>35</v>
      </c>
      <c r="J799" s="0" t="str">
        <f aca="false">_xlfn.XLOOKUP(C799,Departments!$A$2:$A$6,Departments!$B$2:$B$6,"Unknown")</f>
        <v>Human Resources</v>
      </c>
    </row>
    <row r="800" customFormat="false" ht="15" hidden="false" customHeight="false" outlineLevel="0" collapsed="false">
      <c r="A800" s="0" t="s">
        <v>827</v>
      </c>
      <c r="B800" s="4" t="n">
        <v>45727</v>
      </c>
      <c r="C800" s="0" t="s">
        <v>30</v>
      </c>
      <c r="D800" s="3" t="s">
        <v>21</v>
      </c>
      <c r="E800" s="2" t="n">
        <v>4663</v>
      </c>
      <c r="F800" s="5" t="n">
        <f aca="false">VLOOKUP(D800,Lookup!$A$2:$B$4,2,FALSE())</f>
        <v>0.1</v>
      </c>
      <c r="G800" s="2" t="n">
        <f aca="false">ROUND(E800*F800,2)</f>
        <v>466.3</v>
      </c>
      <c r="H800" s="2" t="n">
        <f aca="false">E800+G800</f>
        <v>5129.3</v>
      </c>
      <c r="I800" s="3" t="s">
        <v>22</v>
      </c>
      <c r="J800" s="0" t="str">
        <f aca="false">_xlfn.XLOOKUP(C800,Departments!$A$2:$A$6,Departments!$B$2:$B$6,"Unknown")</f>
        <v>Technology</v>
      </c>
    </row>
    <row r="801" customFormat="false" ht="15" hidden="false" customHeight="false" outlineLevel="0" collapsed="false">
      <c r="A801" s="0" t="s">
        <v>828</v>
      </c>
      <c r="B801" s="4" t="n">
        <v>45728</v>
      </c>
      <c r="C801" s="0" t="s">
        <v>32</v>
      </c>
      <c r="D801" s="3" t="s">
        <v>25</v>
      </c>
      <c r="E801" s="2" t="n">
        <v>4700</v>
      </c>
      <c r="F801" s="5" t="n">
        <f aca="false">VLOOKUP(D801,Lookup!$A$2:$B$4,2,FALSE())</f>
        <v>0.15</v>
      </c>
      <c r="G801" s="2" t="n">
        <f aca="false">ROUND(E801*F801,2)</f>
        <v>705</v>
      </c>
      <c r="H801" s="2" t="n">
        <f aca="false">E801+G801</f>
        <v>5405</v>
      </c>
      <c r="I801" s="3" t="s">
        <v>22</v>
      </c>
      <c r="J801" s="0" t="str">
        <f aca="false">_xlfn.XLOOKUP(C801,Departments!$A$2:$A$6,Departments!$B$2:$B$6,"Unknown")</f>
        <v>Operations</v>
      </c>
    </row>
    <row r="802" customFormat="false" ht="15" hidden="false" customHeight="false" outlineLevel="0" collapsed="false">
      <c r="A802" s="0" t="s">
        <v>829</v>
      </c>
      <c r="B802" s="4" t="n">
        <v>45729</v>
      </c>
      <c r="C802" s="0" t="s">
        <v>20</v>
      </c>
      <c r="D802" s="3" t="s">
        <v>28</v>
      </c>
      <c r="E802" s="2" t="n">
        <v>4737</v>
      </c>
      <c r="F802" s="5" t="n">
        <f aca="false">VLOOKUP(D802,Lookup!$A$2:$B$4,2,FALSE())</f>
        <v>0.05</v>
      </c>
      <c r="G802" s="2" t="n">
        <f aca="false">ROUND(E802*F802,2)</f>
        <v>236.85</v>
      </c>
      <c r="H802" s="2" t="n">
        <f aca="false">E802+G802</f>
        <v>4973.85</v>
      </c>
      <c r="I802" s="3" t="s">
        <v>22</v>
      </c>
      <c r="J802" s="0" t="str">
        <f aca="false">_xlfn.XLOOKUP(C802,Departments!$A$2:$A$6,Departments!$B$2:$B$6,"Unknown")</f>
        <v>Finance</v>
      </c>
    </row>
    <row r="803" customFormat="false" ht="15" hidden="false" customHeight="false" outlineLevel="0" collapsed="false">
      <c r="A803" s="0" t="s">
        <v>830</v>
      </c>
      <c r="B803" s="4" t="n">
        <v>45730</v>
      </c>
      <c r="C803" s="0" t="s">
        <v>24</v>
      </c>
      <c r="D803" s="3" t="s">
        <v>21</v>
      </c>
      <c r="E803" s="2" t="n">
        <v>4774</v>
      </c>
      <c r="F803" s="5" t="n">
        <f aca="false">VLOOKUP(D803,Lookup!$A$2:$B$4,2,FALSE())</f>
        <v>0.1</v>
      </c>
      <c r="G803" s="2" t="n">
        <f aca="false">ROUND(E803*F803,2)</f>
        <v>477.4</v>
      </c>
      <c r="H803" s="2" t="n">
        <f aca="false">E803+G803</f>
        <v>5251.4</v>
      </c>
      <c r="I803" s="3" t="s">
        <v>22</v>
      </c>
      <c r="J803" s="0" t="str">
        <f aca="false">_xlfn.XLOOKUP(C803,Departments!$A$2:$A$6,Departments!$B$2:$B$6,"Unknown")</f>
        <v>Quality</v>
      </c>
    </row>
    <row r="804" customFormat="false" ht="15" hidden="false" customHeight="false" outlineLevel="0" collapsed="false">
      <c r="A804" s="0" t="s">
        <v>831</v>
      </c>
      <c r="B804" s="4" t="n">
        <v>45731</v>
      </c>
      <c r="C804" s="0" t="s">
        <v>27</v>
      </c>
      <c r="D804" s="3" t="s">
        <v>25</v>
      </c>
      <c r="E804" s="2" t="n">
        <v>4811</v>
      </c>
      <c r="F804" s="5" t="n">
        <f aca="false">VLOOKUP(D804,Lookup!$A$2:$B$4,2,FALSE())</f>
        <v>0.15</v>
      </c>
      <c r="G804" s="2" t="n">
        <f aca="false">ROUND(E804*F804,2)</f>
        <v>721.65</v>
      </c>
      <c r="H804" s="2" t="n">
        <f aca="false">E804+G804</f>
        <v>5532.65</v>
      </c>
      <c r="I804" s="3" t="s">
        <v>22</v>
      </c>
      <c r="J804" s="0" t="str">
        <f aca="false">_xlfn.XLOOKUP(C804,Departments!$A$2:$A$6,Departments!$B$2:$B$6,"Unknown")</f>
        <v>Human Resources</v>
      </c>
    </row>
    <row r="805" customFormat="false" ht="15" hidden="false" customHeight="false" outlineLevel="0" collapsed="false">
      <c r="A805" s="0" t="s">
        <v>832</v>
      </c>
      <c r="B805" s="4" t="n">
        <v>45732</v>
      </c>
      <c r="C805" s="0" t="s">
        <v>30</v>
      </c>
      <c r="D805" s="3" t="s">
        <v>28</v>
      </c>
      <c r="E805" s="2" t="n">
        <v>4848</v>
      </c>
      <c r="F805" s="5" t="n">
        <f aca="false">VLOOKUP(D805,Lookup!$A$2:$B$4,2,FALSE())</f>
        <v>0.05</v>
      </c>
      <c r="G805" s="2" t="n">
        <f aca="false">ROUND(E805*F805,2)</f>
        <v>242.4</v>
      </c>
      <c r="H805" s="2" t="n">
        <f aca="false">E805+G805</f>
        <v>5090.4</v>
      </c>
      <c r="I805" s="3" t="s">
        <v>22</v>
      </c>
      <c r="J805" s="0" t="str">
        <f aca="false">_xlfn.XLOOKUP(C805,Departments!$A$2:$A$6,Departments!$B$2:$B$6,"Unknown")</f>
        <v>Technology</v>
      </c>
    </row>
    <row r="806" customFormat="false" ht="15" hidden="false" customHeight="false" outlineLevel="0" collapsed="false">
      <c r="A806" s="0" t="s">
        <v>833</v>
      </c>
      <c r="B806" s="4" t="n">
        <v>45733</v>
      </c>
      <c r="C806" s="0" t="s">
        <v>32</v>
      </c>
      <c r="D806" s="3" t="s">
        <v>21</v>
      </c>
      <c r="E806" s="2" t="n">
        <v>4885</v>
      </c>
      <c r="F806" s="5" t="n">
        <f aca="false">VLOOKUP(D806,Lookup!$A$2:$B$4,2,FALSE())</f>
        <v>0.1</v>
      </c>
      <c r="G806" s="2" t="n">
        <f aca="false">ROUND(E806*F806,2)</f>
        <v>488.5</v>
      </c>
      <c r="H806" s="2" t="n">
        <f aca="false">E806+G806</f>
        <v>5373.5</v>
      </c>
      <c r="I806" s="3" t="s">
        <v>35</v>
      </c>
      <c r="J806" s="0" t="str">
        <f aca="false">_xlfn.XLOOKUP(C806,Departments!$A$2:$A$6,Departments!$B$2:$B$6,"Unknown")</f>
        <v>Operations</v>
      </c>
    </row>
    <row r="807" customFormat="false" ht="15" hidden="false" customHeight="false" outlineLevel="0" collapsed="false">
      <c r="A807" s="0" t="s">
        <v>834</v>
      </c>
      <c r="B807" s="4" t="n">
        <v>45734</v>
      </c>
      <c r="C807" s="0" t="s">
        <v>20</v>
      </c>
      <c r="D807" s="3" t="s">
        <v>25</v>
      </c>
      <c r="E807" s="2" t="n">
        <v>4922</v>
      </c>
      <c r="F807" s="5" t="n">
        <f aca="false">VLOOKUP(D807,Lookup!$A$2:$B$4,2,FALSE())</f>
        <v>0.15</v>
      </c>
      <c r="G807" s="2" t="n">
        <f aca="false">ROUND(E807*F807,2)</f>
        <v>738.3</v>
      </c>
      <c r="H807" s="2" t="n">
        <f aca="false">E807+G807</f>
        <v>5660.3</v>
      </c>
      <c r="I807" s="3" t="s">
        <v>22</v>
      </c>
      <c r="J807" s="0" t="str">
        <f aca="false">_xlfn.XLOOKUP(C807,Departments!$A$2:$A$6,Departments!$B$2:$B$6,"Unknown")</f>
        <v>Finance</v>
      </c>
    </row>
    <row r="808" customFormat="false" ht="15" hidden="false" customHeight="false" outlineLevel="0" collapsed="false">
      <c r="A808" s="0" t="s">
        <v>835</v>
      </c>
      <c r="B808" s="4" t="n">
        <v>45735</v>
      </c>
      <c r="C808" s="0" t="s">
        <v>24</v>
      </c>
      <c r="D808" s="3" t="s">
        <v>28</v>
      </c>
      <c r="E808" s="2" t="n">
        <v>4959</v>
      </c>
      <c r="F808" s="5" t="n">
        <f aca="false">VLOOKUP(D808,Lookup!$A$2:$B$4,2,FALSE())</f>
        <v>0.05</v>
      </c>
      <c r="G808" s="2" t="n">
        <f aca="false">ROUND(E808*F808,2)</f>
        <v>247.95</v>
      </c>
      <c r="H808" s="2" t="n">
        <f aca="false">E808+G808</f>
        <v>5206.95</v>
      </c>
      <c r="I808" s="3" t="s">
        <v>22</v>
      </c>
      <c r="J808" s="0" t="str">
        <f aca="false">_xlfn.XLOOKUP(C808,Departments!$A$2:$A$6,Departments!$B$2:$B$6,"Unknown")</f>
        <v>Quality</v>
      </c>
    </row>
    <row r="809" customFormat="false" ht="15" hidden="false" customHeight="false" outlineLevel="0" collapsed="false">
      <c r="A809" s="0" t="s">
        <v>836</v>
      </c>
      <c r="B809" s="4" t="n">
        <v>45736</v>
      </c>
      <c r="C809" s="0" t="s">
        <v>27</v>
      </c>
      <c r="D809" s="3" t="s">
        <v>21</v>
      </c>
      <c r="E809" s="2" t="n">
        <v>4996</v>
      </c>
      <c r="F809" s="5" t="n">
        <f aca="false">VLOOKUP(D809,Lookup!$A$2:$B$4,2,FALSE())</f>
        <v>0.1</v>
      </c>
      <c r="G809" s="2" t="n">
        <f aca="false">ROUND(E809*F809,2)</f>
        <v>499.6</v>
      </c>
      <c r="H809" s="2" t="n">
        <f aca="false">E809+G809</f>
        <v>5495.6</v>
      </c>
      <c r="I809" s="3" t="s">
        <v>22</v>
      </c>
      <c r="J809" s="0" t="str">
        <f aca="false">_xlfn.XLOOKUP(C809,Departments!$A$2:$A$6,Departments!$B$2:$B$6,"Unknown")</f>
        <v>Human Resources</v>
      </c>
    </row>
    <row r="810" customFormat="false" ht="15" hidden="false" customHeight="false" outlineLevel="0" collapsed="false">
      <c r="A810" s="0" t="s">
        <v>837</v>
      </c>
      <c r="B810" s="4" t="n">
        <v>45737</v>
      </c>
      <c r="C810" s="0" t="s">
        <v>30</v>
      </c>
      <c r="D810" s="3" t="s">
        <v>25</v>
      </c>
      <c r="E810" s="2" t="n">
        <v>5033</v>
      </c>
      <c r="F810" s="5" t="n">
        <f aca="false">VLOOKUP(D810,Lookup!$A$2:$B$4,2,FALSE())</f>
        <v>0.15</v>
      </c>
      <c r="G810" s="2" t="n">
        <f aca="false">ROUND(E810*F810,2)</f>
        <v>754.95</v>
      </c>
      <c r="H810" s="2" t="n">
        <f aca="false">E810+G810</f>
        <v>5787.95</v>
      </c>
      <c r="I810" s="3" t="s">
        <v>22</v>
      </c>
      <c r="J810" s="0" t="str">
        <f aca="false">_xlfn.XLOOKUP(C810,Departments!$A$2:$A$6,Departments!$B$2:$B$6,"Unknown")</f>
        <v>Technology</v>
      </c>
    </row>
    <row r="811" customFormat="false" ht="15" hidden="false" customHeight="false" outlineLevel="0" collapsed="false">
      <c r="A811" s="0" t="s">
        <v>838</v>
      </c>
      <c r="B811" s="4" t="n">
        <v>45738</v>
      </c>
      <c r="C811" s="0" t="s">
        <v>32</v>
      </c>
      <c r="D811" s="3" t="s">
        <v>28</v>
      </c>
      <c r="E811" s="2" t="n">
        <v>5070</v>
      </c>
      <c r="F811" s="5" t="n">
        <f aca="false">VLOOKUP(D811,Lookup!$A$2:$B$4,2,FALSE())</f>
        <v>0.05</v>
      </c>
      <c r="G811" s="2" t="n">
        <f aca="false">ROUND(E811*F811,2)</f>
        <v>253.5</v>
      </c>
      <c r="H811" s="2" t="n">
        <f aca="false">E811+G811</f>
        <v>5323.5</v>
      </c>
      <c r="I811" s="3" t="s">
        <v>22</v>
      </c>
      <c r="J811" s="0" t="str">
        <f aca="false">_xlfn.XLOOKUP(C811,Departments!$A$2:$A$6,Departments!$B$2:$B$6,"Unknown")</f>
        <v>Operations</v>
      </c>
    </row>
    <row r="812" customFormat="false" ht="15" hidden="false" customHeight="false" outlineLevel="0" collapsed="false">
      <c r="A812" s="0" t="s">
        <v>839</v>
      </c>
      <c r="B812" s="4" t="n">
        <v>45739</v>
      </c>
      <c r="C812" s="0" t="s">
        <v>20</v>
      </c>
      <c r="D812" s="3" t="s">
        <v>21</v>
      </c>
      <c r="E812" s="2" t="n">
        <v>107</v>
      </c>
      <c r="F812" s="5" t="n">
        <f aca="false">VLOOKUP(D812,Lookup!$A$2:$B$4,2,FALSE())</f>
        <v>0.1</v>
      </c>
      <c r="G812" s="2" t="n">
        <f aca="false">ROUND(E812*F812,2)</f>
        <v>10.7</v>
      </c>
      <c r="H812" s="2" t="n">
        <f aca="false">E812+G812</f>
        <v>117.7</v>
      </c>
      <c r="I812" s="3" t="s">
        <v>22</v>
      </c>
      <c r="J812" s="0" t="str">
        <f aca="false">_xlfn.XLOOKUP(C812,Departments!$A$2:$A$6,Departments!$B$2:$B$6,"Unknown")</f>
        <v>Finance</v>
      </c>
    </row>
    <row r="813" customFormat="false" ht="15" hidden="false" customHeight="false" outlineLevel="0" collapsed="false">
      <c r="A813" s="0" t="s">
        <v>840</v>
      </c>
      <c r="B813" s="4" t="n">
        <v>45740</v>
      </c>
      <c r="C813" s="0" t="s">
        <v>24</v>
      </c>
      <c r="D813" s="3" t="s">
        <v>25</v>
      </c>
      <c r="E813" s="2" t="n">
        <v>144</v>
      </c>
      <c r="F813" s="5" t="n">
        <f aca="false">VLOOKUP(D813,Lookup!$A$2:$B$4,2,FALSE())</f>
        <v>0.15</v>
      </c>
      <c r="G813" s="2" t="n">
        <f aca="false">ROUND(E813*F813,2)</f>
        <v>21.6</v>
      </c>
      <c r="H813" s="2" t="n">
        <f aca="false">E813+G813</f>
        <v>165.6</v>
      </c>
      <c r="I813" s="3" t="s">
        <v>35</v>
      </c>
      <c r="J813" s="0" t="str">
        <f aca="false">_xlfn.XLOOKUP(C813,Departments!$A$2:$A$6,Departments!$B$2:$B$6,"Unknown")</f>
        <v>Quality</v>
      </c>
    </row>
    <row r="814" customFormat="false" ht="15" hidden="false" customHeight="false" outlineLevel="0" collapsed="false">
      <c r="A814" s="0" t="s">
        <v>841</v>
      </c>
      <c r="B814" s="4" t="n">
        <v>45741</v>
      </c>
      <c r="C814" s="0" t="s">
        <v>27</v>
      </c>
      <c r="D814" s="3" t="s">
        <v>28</v>
      </c>
      <c r="E814" s="2" t="n">
        <v>181</v>
      </c>
      <c r="F814" s="5" t="n">
        <f aca="false">VLOOKUP(D814,Lookup!$A$2:$B$4,2,FALSE())</f>
        <v>0.05</v>
      </c>
      <c r="G814" s="2" t="n">
        <f aca="false">ROUND(E814*F814,2)</f>
        <v>9.05</v>
      </c>
      <c r="H814" s="2" t="n">
        <f aca="false">E814+G814</f>
        <v>190.05</v>
      </c>
      <c r="I814" s="3" t="s">
        <v>22</v>
      </c>
      <c r="J814" s="0" t="str">
        <f aca="false">_xlfn.XLOOKUP(C814,Departments!$A$2:$A$6,Departments!$B$2:$B$6,"Unknown")</f>
        <v>Human Resources</v>
      </c>
    </row>
    <row r="815" customFormat="false" ht="15" hidden="false" customHeight="false" outlineLevel="0" collapsed="false">
      <c r="A815" s="0" t="s">
        <v>842</v>
      </c>
      <c r="B815" s="4" t="n">
        <v>45742</v>
      </c>
      <c r="C815" s="0" t="s">
        <v>30</v>
      </c>
      <c r="D815" s="3" t="s">
        <v>21</v>
      </c>
      <c r="E815" s="2" t="n">
        <v>218</v>
      </c>
      <c r="F815" s="5" t="n">
        <f aca="false">VLOOKUP(D815,Lookup!$A$2:$B$4,2,FALSE())</f>
        <v>0.1</v>
      </c>
      <c r="G815" s="2" t="n">
        <f aca="false">ROUND(E815*F815,2)</f>
        <v>21.8</v>
      </c>
      <c r="H815" s="2" t="n">
        <f aca="false">E815+G815</f>
        <v>239.8</v>
      </c>
      <c r="I815" s="3" t="s">
        <v>22</v>
      </c>
      <c r="J815" s="0" t="str">
        <f aca="false">_xlfn.XLOOKUP(C815,Departments!$A$2:$A$6,Departments!$B$2:$B$6,"Unknown")</f>
        <v>Technology</v>
      </c>
    </row>
    <row r="816" customFormat="false" ht="15" hidden="false" customHeight="false" outlineLevel="0" collapsed="false">
      <c r="A816" s="0" t="s">
        <v>843</v>
      </c>
      <c r="B816" s="4" t="n">
        <v>45743</v>
      </c>
      <c r="C816" s="0" t="s">
        <v>32</v>
      </c>
      <c r="D816" s="3" t="s">
        <v>25</v>
      </c>
      <c r="E816" s="2" t="n">
        <v>255</v>
      </c>
      <c r="F816" s="5" t="n">
        <f aca="false">VLOOKUP(D816,Lookup!$A$2:$B$4,2,FALSE())</f>
        <v>0.15</v>
      </c>
      <c r="G816" s="2" t="n">
        <f aca="false">ROUND(E816*F816,2)</f>
        <v>38.25</v>
      </c>
      <c r="H816" s="2" t="n">
        <f aca="false">E816+G816</f>
        <v>293.25</v>
      </c>
      <c r="I816" s="3" t="s">
        <v>22</v>
      </c>
      <c r="J816" s="0" t="str">
        <f aca="false">_xlfn.XLOOKUP(C816,Departments!$A$2:$A$6,Departments!$B$2:$B$6,"Unknown")</f>
        <v>Operations</v>
      </c>
    </row>
    <row r="817" customFormat="false" ht="15" hidden="false" customHeight="false" outlineLevel="0" collapsed="false">
      <c r="A817" s="0" t="s">
        <v>844</v>
      </c>
      <c r="B817" s="4" t="n">
        <v>45744</v>
      </c>
      <c r="C817" s="0" t="s">
        <v>20</v>
      </c>
      <c r="D817" s="3" t="s">
        <v>28</v>
      </c>
      <c r="E817" s="2" t="n">
        <v>292</v>
      </c>
      <c r="F817" s="5" t="n">
        <f aca="false">VLOOKUP(D817,Lookup!$A$2:$B$4,2,FALSE())</f>
        <v>0.05</v>
      </c>
      <c r="G817" s="2" t="n">
        <f aca="false">ROUND(E817*F817,2)</f>
        <v>14.6</v>
      </c>
      <c r="H817" s="2" t="n">
        <f aca="false">E817+G817</f>
        <v>306.6</v>
      </c>
      <c r="I817" s="3" t="s">
        <v>22</v>
      </c>
      <c r="J817" s="0" t="str">
        <f aca="false">_xlfn.XLOOKUP(C817,Departments!$A$2:$A$6,Departments!$B$2:$B$6,"Unknown")</f>
        <v>Finance</v>
      </c>
    </row>
    <row r="818" customFormat="false" ht="15" hidden="false" customHeight="false" outlineLevel="0" collapsed="false">
      <c r="A818" s="0" t="s">
        <v>845</v>
      </c>
      <c r="B818" s="4" t="n">
        <v>45745</v>
      </c>
      <c r="C818" s="0" t="s">
        <v>24</v>
      </c>
      <c r="D818" s="3" t="s">
        <v>21</v>
      </c>
      <c r="E818" s="2" t="n">
        <v>329</v>
      </c>
      <c r="F818" s="5" t="n">
        <f aca="false">VLOOKUP(D818,Lookup!$A$2:$B$4,2,FALSE())</f>
        <v>0.1</v>
      </c>
      <c r="G818" s="2" t="n">
        <f aca="false">ROUND(E818*F818,2)</f>
        <v>32.9</v>
      </c>
      <c r="H818" s="2" t="n">
        <f aca="false">E818+G818</f>
        <v>361.9</v>
      </c>
      <c r="I818" s="3" t="s">
        <v>22</v>
      </c>
      <c r="J818" s="0" t="str">
        <f aca="false">_xlfn.XLOOKUP(C818,Departments!$A$2:$A$6,Departments!$B$2:$B$6,"Unknown")</f>
        <v>Quality</v>
      </c>
    </row>
    <row r="819" customFormat="false" ht="15" hidden="false" customHeight="false" outlineLevel="0" collapsed="false">
      <c r="A819" s="0" t="s">
        <v>846</v>
      </c>
      <c r="B819" s="4" t="n">
        <v>45746</v>
      </c>
      <c r="C819" s="0" t="s">
        <v>27</v>
      </c>
      <c r="D819" s="3" t="s">
        <v>25</v>
      </c>
      <c r="E819" s="2" t="n">
        <v>366</v>
      </c>
      <c r="F819" s="5" t="n">
        <f aca="false">VLOOKUP(D819,Lookup!$A$2:$B$4,2,FALSE())</f>
        <v>0.15</v>
      </c>
      <c r="G819" s="2" t="n">
        <f aca="false">ROUND(E819*F819,2)</f>
        <v>54.9</v>
      </c>
      <c r="H819" s="2" t="n">
        <f aca="false">E819+G819</f>
        <v>420.9</v>
      </c>
      <c r="I819" s="3" t="s">
        <v>22</v>
      </c>
      <c r="J819" s="0" t="str">
        <f aca="false">_xlfn.XLOOKUP(C819,Departments!$A$2:$A$6,Departments!$B$2:$B$6,"Unknown")</f>
        <v>Human Resources</v>
      </c>
    </row>
    <row r="820" customFormat="false" ht="15" hidden="false" customHeight="false" outlineLevel="0" collapsed="false">
      <c r="A820" s="0" t="s">
        <v>847</v>
      </c>
      <c r="B820" s="4" t="n">
        <v>45747</v>
      </c>
      <c r="C820" s="0" t="s">
        <v>30</v>
      </c>
      <c r="D820" s="3" t="s">
        <v>28</v>
      </c>
      <c r="E820" s="2" t="n">
        <v>403</v>
      </c>
      <c r="F820" s="5" t="n">
        <f aca="false">VLOOKUP(D820,Lookup!$A$2:$B$4,2,FALSE())</f>
        <v>0.05</v>
      </c>
      <c r="G820" s="2" t="n">
        <f aca="false">ROUND(E820*F820,2)</f>
        <v>20.15</v>
      </c>
      <c r="H820" s="2" t="n">
        <f aca="false">E820+G820</f>
        <v>423.15</v>
      </c>
      <c r="I820" s="3" t="s">
        <v>35</v>
      </c>
      <c r="J820" s="0" t="str">
        <f aca="false">_xlfn.XLOOKUP(C820,Departments!$A$2:$A$6,Departments!$B$2:$B$6,"Unknown")</f>
        <v>Technology</v>
      </c>
    </row>
    <row r="821" customFormat="false" ht="15" hidden="false" customHeight="false" outlineLevel="0" collapsed="false">
      <c r="A821" s="0" t="s">
        <v>848</v>
      </c>
      <c r="B821" s="4" t="n">
        <v>45748</v>
      </c>
      <c r="C821" s="0" t="s">
        <v>32</v>
      </c>
      <c r="D821" s="3" t="s">
        <v>21</v>
      </c>
      <c r="E821" s="2" t="n">
        <v>440</v>
      </c>
      <c r="F821" s="5" t="n">
        <f aca="false">VLOOKUP(D821,Lookup!$A$2:$B$4,2,FALSE())</f>
        <v>0.1</v>
      </c>
      <c r="G821" s="2" t="n">
        <f aca="false">ROUND(E821*F821,2)</f>
        <v>44</v>
      </c>
      <c r="H821" s="2" t="n">
        <f aca="false">E821+G821</f>
        <v>484</v>
      </c>
      <c r="I821" s="3" t="s">
        <v>22</v>
      </c>
      <c r="J821" s="0" t="str">
        <f aca="false">_xlfn.XLOOKUP(C821,Departments!$A$2:$A$6,Departments!$B$2:$B$6,"Unknown")</f>
        <v>Operations</v>
      </c>
    </row>
    <row r="822" customFormat="false" ht="15" hidden="false" customHeight="false" outlineLevel="0" collapsed="false">
      <c r="A822" s="0" t="s">
        <v>849</v>
      </c>
      <c r="B822" s="4" t="n">
        <v>45749</v>
      </c>
      <c r="C822" s="0" t="s">
        <v>20</v>
      </c>
      <c r="D822" s="3" t="s">
        <v>25</v>
      </c>
      <c r="E822" s="2" t="n">
        <v>477</v>
      </c>
      <c r="F822" s="5" t="n">
        <f aca="false">VLOOKUP(D822,Lookup!$A$2:$B$4,2,FALSE())</f>
        <v>0.15</v>
      </c>
      <c r="G822" s="2" t="n">
        <f aca="false">ROUND(E822*F822,2)</f>
        <v>71.55</v>
      </c>
      <c r="H822" s="2" t="n">
        <f aca="false">E822+G822</f>
        <v>548.55</v>
      </c>
      <c r="I822" s="3" t="s">
        <v>22</v>
      </c>
      <c r="J822" s="0" t="str">
        <f aca="false">_xlfn.XLOOKUP(C822,Departments!$A$2:$A$6,Departments!$B$2:$B$6,"Unknown")</f>
        <v>Finance</v>
      </c>
    </row>
    <row r="823" customFormat="false" ht="15" hidden="false" customHeight="false" outlineLevel="0" collapsed="false">
      <c r="A823" s="0" t="s">
        <v>850</v>
      </c>
      <c r="B823" s="4" t="n">
        <v>45750</v>
      </c>
      <c r="C823" s="0" t="s">
        <v>24</v>
      </c>
      <c r="D823" s="3" t="s">
        <v>28</v>
      </c>
      <c r="E823" s="2" t="n">
        <v>514</v>
      </c>
      <c r="F823" s="5" t="n">
        <f aca="false">VLOOKUP(D823,Lookup!$A$2:$B$4,2,FALSE())</f>
        <v>0.05</v>
      </c>
      <c r="G823" s="2" t="n">
        <f aca="false">ROUND(E823*F823,2)</f>
        <v>25.7</v>
      </c>
      <c r="H823" s="2" t="n">
        <f aca="false">E823+G823</f>
        <v>539.7</v>
      </c>
      <c r="I823" s="3" t="s">
        <v>22</v>
      </c>
      <c r="J823" s="0" t="str">
        <f aca="false">_xlfn.XLOOKUP(C823,Departments!$A$2:$A$6,Departments!$B$2:$B$6,"Unknown")</f>
        <v>Quality</v>
      </c>
    </row>
    <row r="824" customFormat="false" ht="15" hidden="false" customHeight="false" outlineLevel="0" collapsed="false">
      <c r="A824" s="0" t="s">
        <v>851</v>
      </c>
      <c r="B824" s="4" t="n">
        <v>45751</v>
      </c>
      <c r="C824" s="0" t="s">
        <v>27</v>
      </c>
      <c r="D824" s="3" t="s">
        <v>21</v>
      </c>
      <c r="E824" s="2" t="n">
        <v>551</v>
      </c>
      <c r="F824" s="5" t="n">
        <f aca="false">VLOOKUP(D824,Lookup!$A$2:$B$4,2,FALSE())</f>
        <v>0.1</v>
      </c>
      <c r="G824" s="2" t="n">
        <f aca="false">ROUND(E824*F824,2)</f>
        <v>55.1</v>
      </c>
      <c r="H824" s="2" t="n">
        <f aca="false">E824+G824</f>
        <v>606.1</v>
      </c>
      <c r="I824" s="3" t="s">
        <v>22</v>
      </c>
      <c r="J824" s="0" t="str">
        <f aca="false">_xlfn.XLOOKUP(C824,Departments!$A$2:$A$6,Departments!$B$2:$B$6,"Unknown")</f>
        <v>Human Resources</v>
      </c>
    </row>
    <row r="825" customFormat="false" ht="15" hidden="false" customHeight="false" outlineLevel="0" collapsed="false">
      <c r="A825" s="0" t="s">
        <v>852</v>
      </c>
      <c r="B825" s="4" t="n">
        <v>45752</v>
      </c>
      <c r="C825" s="0" t="s">
        <v>30</v>
      </c>
      <c r="D825" s="3" t="s">
        <v>25</v>
      </c>
      <c r="E825" s="2" t="n">
        <v>588</v>
      </c>
      <c r="F825" s="5" t="n">
        <f aca="false">VLOOKUP(D825,Lookup!$A$2:$B$4,2,FALSE())</f>
        <v>0.15</v>
      </c>
      <c r="G825" s="2" t="n">
        <f aca="false">ROUND(E825*F825,2)</f>
        <v>88.2</v>
      </c>
      <c r="H825" s="2" t="n">
        <f aca="false">E825+G825</f>
        <v>676.2</v>
      </c>
      <c r="I825" s="3" t="s">
        <v>22</v>
      </c>
      <c r="J825" s="0" t="str">
        <f aca="false">_xlfn.XLOOKUP(C825,Departments!$A$2:$A$6,Departments!$B$2:$B$6,"Unknown")</f>
        <v>Technology</v>
      </c>
    </row>
    <row r="826" customFormat="false" ht="15" hidden="false" customHeight="false" outlineLevel="0" collapsed="false">
      <c r="A826" s="0" t="s">
        <v>853</v>
      </c>
      <c r="B826" s="4" t="n">
        <v>45753</v>
      </c>
      <c r="C826" s="0" t="s">
        <v>32</v>
      </c>
      <c r="D826" s="3" t="s">
        <v>28</v>
      </c>
      <c r="E826" s="2" t="n">
        <v>625</v>
      </c>
      <c r="F826" s="5" t="n">
        <f aca="false">VLOOKUP(D826,Lookup!$A$2:$B$4,2,FALSE())</f>
        <v>0.05</v>
      </c>
      <c r="G826" s="2" t="n">
        <f aca="false">ROUND(E826*F826,2)</f>
        <v>31.25</v>
      </c>
      <c r="H826" s="2" t="n">
        <f aca="false">E826+G826</f>
        <v>656.25</v>
      </c>
      <c r="I826" s="3" t="s">
        <v>22</v>
      </c>
      <c r="J826" s="0" t="str">
        <f aca="false">_xlfn.XLOOKUP(C826,Departments!$A$2:$A$6,Departments!$B$2:$B$6,"Unknown")</f>
        <v>Operations</v>
      </c>
    </row>
    <row r="827" customFormat="false" ht="15" hidden="false" customHeight="false" outlineLevel="0" collapsed="false">
      <c r="A827" s="0" t="s">
        <v>854</v>
      </c>
      <c r="B827" s="4" t="n">
        <v>45754</v>
      </c>
      <c r="C827" s="0" t="s">
        <v>20</v>
      </c>
      <c r="D827" s="3" t="s">
        <v>21</v>
      </c>
      <c r="E827" s="2" t="n">
        <v>662</v>
      </c>
      <c r="F827" s="5" t="n">
        <f aca="false">VLOOKUP(D827,Lookup!$A$2:$B$4,2,FALSE())</f>
        <v>0.1</v>
      </c>
      <c r="G827" s="2" t="n">
        <f aca="false">ROUND(E827*F827,2)</f>
        <v>66.2</v>
      </c>
      <c r="H827" s="2" t="n">
        <f aca="false">E827+G827</f>
        <v>728.2</v>
      </c>
      <c r="I827" s="3" t="s">
        <v>35</v>
      </c>
      <c r="J827" s="0" t="str">
        <f aca="false">_xlfn.XLOOKUP(C827,Departments!$A$2:$A$6,Departments!$B$2:$B$6,"Unknown")</f>
        <v>Finance</v>
      </c>
    </row>
    <row r="828" customFormat="false" ht="15" hidden="false" customHeight="false" outlineLevel="0" collapsed="false">
      <c r="A828" s="0" t="s">
        <v>855</v>
      </c>
      <c r="B828" s="4" t="n">
        <v>45755</v>
      </c>
      <c r="C828" s="0" t="s">
        <v>24</v>
      </c>
      <c r="D828" s="3" t="s">
        <v>25</v>
      </c>
      <c r="E828" s="2" t="n">
        <v>699</v>
      </c>
      <c r="F828" s="5" t="n">
        <f aca="false">VLOOKUP(D828,Lookup!$A$2:$B$4,2,FALSE())</f>
        <v>0.15</v>
      </c>
      <c r="G828" s="2" t="n">
        <f aca="false">ROUND(E828*F828,2)</f>
        <v>104.85</v>
      </c>
      <c r="H828" s="2" t="n">
        <f aca="false">E828+G828</f>
        <v>803.85</v>
      </c>
      <c r="I828" s="3" t="s">
        <v>22</v>
      </c>
      <c r="J828" s="0" t="str">
        <f aca="false">_xlfn.XLOOKUP(C828,Departments!$A$2:$A$6,Departments!$B$2:$B$6,"Unknown")</f>
        <v>Quality</v>
      </c>
    </row>
    <row r="829" customFormat="false" ht="15" hidden="false" customHeight="false" outlineLevel="0" collapsed="false">
      <c r="A829" s="0" t="s">
        <v>856</v>
      </c>
      <c r="B829" s="4" t="n">
        <v>45756</v>
      </c>
      <c r="C829" s="0" t="s">
        <v>27</v>
      </c>
      <c r="D829" s="3" t="s">
        <v>28</v>
      </c>
      <c r="E829" s="2" t="n">
        <v>736</v>
      </c>
      <c r="F829" s="5" t="n">
        <f aca="false">VLOOKUP(D829,Lookup!$A$2:$B$4,2,FALSE())</f>
        <v>0.05</v>
      </c>
      <c r="G829" s="2" t="n">
        <f aca="false">ROUND(E829*F829,2)</f>
        <v>36.8</v>
      </c>
      <c r="H829" s="2" t="n">
        <f aca="false">E829+G829</f>
        <v>772.8</v>
      </c>
      <c r="I829" s="3" t="s">
        <v>22</v>
      </c>
      <c r="J829" s="0" t="str">
        <f aca="false">_xlfn.XLOOKUP(C829,Departments!$A$2:$A$6,Departments!$B$2:$B$6,"Unknown")</f>
        <v>Human Resources</v>
      </c>
    </row>
    <row r="830" customFormat="false" ht="15" hidden="false" customHeight="false" outlineLevel="0" collapsed="false">
      <c r="A830" s="0" t="s">
        <v>857</v>
      </c>
      <c r="B830" s="4" t="n">
        <v>45757</v>
      </c>
      <c r="C830" s="0" t="s">
        <v>30</v>
      </c>
      <c r="D830" s="3" t="s">
        <v>21</v>
      </c>
      <c r="E830" s="2" t="n">
        <v>773</v>
      </c>
      <c r="F830" s="5" t="n">
        <f aca="false">VLOOKUP(D830,Lookup!$A$2:$B$4,2,FALSE())</f>
        <v>0.1</v>
      </c>
      <c r="G830" s="2" t="n">
        <f aca="false">ROUND(E830*F830,2)</f>
        <v>77.3</v>
      </c>
      <c r="H830" s="2" t="n">
        <f aca="false">E830+G830</f>
        <v>850.3</v>
      </c>
      <c r="I830" s="3" t="s">
        <v>22</v>
      </c>
      <c r="J830" s="0" t="str">
        <f aca="false">_xlfn.XLOOKUP(C830,Departments!$A$2:$A$6,Departments!$B$2:$B$6,"Unknown")</f>
        <v>Technology</v>
      </c>
    </row>
    <row r="831" customFormat="false" ht="15" hidden="false" customHeight="false" outlineLevel="0" collapsed="false">
      <c r="A831" s="0" t="s">
        <v>858</v>
      </c>
      <c r="B831" s="4" t="n">
        <v>45758</v>
      </c>
      <c r="C831" s="0" t="s">
        <v>32</v>
      </c>
      <c r="D831" s="3" t="s">
        <v>25</v>
      </c>
      <c r="E831" s="2" t="n">
        <v>810</v>
      </c>
      <c r="F831" s="5" t="n">
        <f aca="false">VLOOKUP(D831,Lookup!$A$2:$B$4,2,FALSE())</f>
        <v>0.15</v>
      </c>
      <c r="G831" s="2" t="n">
        <f aca="false">ROUND(E831*F831,2)</f>
        <v>121.5</v>
      </c>
      <c r="H831" s="2" t="n">
        <f aca="false">E831+G831</f>
        <v>931.5</v>
      </c>
      <c r="I831" s="3" t="s">
        <v>22</v>
      </c>
      <c r="J831" s="0" t="str">
        <f aca="false">_xlfn.XLOOKUP(C831,Departments!$A$2:$A$6,Departments!$B$2:$B$6,"Unknown")</f>
        <v>Operations</v>
      </c>
    </row>
    <row r="832" customFormat="false" ht="15" hidden="false" customHeight="false" outlineLevel="0" collapsed="false">
      <c r="A832" s="0" t="s">
        <v>859</v>
      </c>
      <c r="B832" s="4" t="n">
        <v>45759</v>
      </c>
      <c r="C832" s="0" t="s">
        <v>20</v>
      </c>
      <c r="D832" s="3" t="s">
        <v>28</v>
      </c>
      <c r="E832" s="2" t="n">
        <v>847</v>
      </c>
      <c r="F832" s="5" t="n">
        <f aca="false">VLOOKUP(D832,Lookup!$A$2:$B$4,2,FALSE())</f>
        <v>0.05</v>
      </c>
      <c r="G832" s="2" t="n">
        <f aca="false">ROUND(E832*F832,2)</f>
        <v>42.35</v>
      </c>
      <c r="H832" s="2" t="n">
        <f aca="false">E832+G832</f>
        <v>889.35</v>
      </c>
      <c r="I832" s="3" t="s">
        <v>22</v>
      </c>
      <c r="J832" s="0" t="str">
        <f aca="false">_xlfn.XLOOKUP(C832,Departments!$A$2:$A$6,Departments!$B$2:$B$6,"Unknown")</f>
        <v>Finance</v>
      </c>
    </row>
    <row r="833" customFormat="false" ht="15" hidden="false" customHeight="false" outlineLevel="0" collapsed="false">
      <c r="A833" s="0" t="s">
        <v>860</v>
      </c>
      <c r="B833" s="4" t="n">
        <v>45760</v>
      </c>
      <c r="C833" s="0" t="s">
        <v>24</v>
      </c>
      <c r="D833" s="3" t="s">
        <v>21</v>
      </c>
      <c r="E833" s="2" t="n">
        <v>884</v>
      </c>
      <c r="F833" s="5" t="n">
        <f aca="false">VLOOKUP(D833,Lookup!$A$2:$B$4,2,FALSE())</f>
        <v>0.1</v>
      </c>
      <c r="G833" s="2" t="n">
        <f aca="false">ROUND(E833*F833,2)</f>
        <v>88.4</v>
      </c>
      <c r="H833" s="2" t="n">
        <f aca="false">E833+G833</f>
        <v>972.4</v>
      </c>
      <c r="I833" s="3" t="s">
        <v>22</v>
      </c>
      <c r="J833" s="0" t="str">
        <f aca="false">_xlfn.XLOOKUP(C833,Departments!$A$2:$A$6,Departments!$B$2:$B$6,"Unknown")</f>
        <v>Quality</v>
      </c>
    </row>
    <row r="834" customFormat="false" ht="15" hidden="false" customHeight="false" outlineLevel="0" collapsed="false">
      <c r="A834" s="0" t="s">
        <v>861</v>
      </c>
      <c r="B834" s="4" t="n">
        <v>45761</v>
      </c>
      <c r="C834" s="0" t="s">
        <v>27</v>
      </c>
      <c r="D834" s="3" t="s">
        <v>25</v>
      </c>
      <c r="E834" s="2" t="n">
        <v>921</v>
      </c>
      <c r="F834" s="5" t="n">
        <f aca="false">VLOOKUP(D834,Lookup!$A$2:$B$4,2,FALSE())</f>
        <v>0.15</v>
      </c>
      <c r="G834" s="2" t="n">
        <f aca="false">ROUND(E834*F834,2)</f>
        <v>138.15</v>
      </c>
      <c r="H834" s="2" t="n">
        <f aca="false">E834+G834</f>
        <v>1059.15</v>
      </c>
      <c r="I834" s="3" t="s">
        <v>35</v>
      </c>
      <c r="J834" s="0" t="str">
        <f aca="false">_xlfn.XLOOKUP(C834,Departments!$A$2:$A$6,Departments!$B$2:$B$6,"Unknown")</f>
        <v>Human Resources</v>
      </c>
    </row>
    <row r="835" customFormat="false" ht="15" hidden="false" customHeight="false" outlineLevel="0" collapsed="false">
      <c r="A835" s="0" t="s">
        <v>862</v>
      </c>
      <c r="B835" s="4" t="n">
        <v>45762</v>
      </c>
      <c r="C835" s="0" t="s">
        <v>30</v>
      </c>
      <c r="D835" s="3" t="s">
        <v>28</v>
      </c>
      <c r="E835" s="2" t="n">
        <v>958</v>
      </c>
      <c r="F835" s="5" t="n">
        <f aca="false">VLOOKUP(D835,Lookup!$A$2:$B$4,2,FALSE())</f>
        <v>0.05</v>
      </c>
      <c r="G835" s="2" t="n">
        <f aca="false">ROUND(E835*F835,2)</f>
        <v>47.9</v>
      </c>
      <c r="H835" s="2" t="n">
        <f aca="false">E835+G835</f>
        <v>1005.9</v>
      </c>
      <c r="I835" s="3" t="s">
        <v>22</v>
      </c>
      <c r="J835" s="0" t="str">
        <f aca="false">_xlfn.XLOOKUP(C835,Departments!$A$2:$A$6,Departments!$B$2:$B$6,"Unknown")</f>
        <v>Technology</v>
      </c>
    </row>
    <row r="836" customFormat="false" ht="15" hidden="false" customHeight="false" outlineLevel="0" collapsed="false">
      <c r="A836" s="0" t="s">
        <v>863</v>
      </c>
      <c r="B836" s="4" t="n">
        <v>45763</v>
      </c>
      <c r="C836" s="0" t="s">
        <v>32</v>
      </c>
      <c r="D836" s="3" t="s">
        <v>21</v>
      </c>
      <c r="E836" s="2" t="n">
        <v>995</v>
      </c>
      <c r="F836" s="5" t="n">
        <f aca="false">VLOOKUP(D836,Lookup!$A$2:$B$4,2,FALSE())</f>
        <v>0.1</v>
      </c>
      <c r="G836" s="2" t="n">
        <f aca="false">ROUND(E836*F836,2)</f>
        <v>99.5</v>
      </c>
      <c r="H836" s="2" t="n">
        <f aca="false">E836+G836</f>
        <v>1094.5</v>
      </c>
      <c r="I836" s="3" t="s">
        <v>22</v>
      </c>
      <c r="J836" s="0" t="str">
        <f aca="false">_xlfn.XLOOKUP(C836,Departments!$A$2:$A$6,Departments!$B$2:$B$6,"Unknown")</f>
        <v>Operations</v>
      </c>
    </row>
    <row r="837" customFormat="false" ht="15" hidden="false" customHeight="false" outlineLevel="0" collapsed="false">
      <c r="A837" s="0" t="s">
        <v>864</v>
      </c>
      <c r="B837" s="4" t="n">
        <v>45764</v>
      </c>
      <c r="C837" s="0" t="s">
        <v>20</v>
      </c>
      <c r="D837" s="3" t="s">
        <v>25</v>
      </c>
      <c r="E837" s="2" t="n">
        <v>1032</v>
      </c>
      <c r="F837" s="5" t="n">
        <f aca="false">VLOOKUP(D837,Lookup!$A$2:$B$4,2,FALSE())</f>
        <v>0.15</v>
      </c>
      <c r="G837" s="2" t="n">
        <f aca="false">ROUND(E837*F837,2)</f>
        <v>154.8</v>
      </c>
      <c r="H837" s="2" t="n">
        <f aca="false">E837+G837</f>
        <v>1186.8</v>
      </c>
      <c r="I837" s="3" t="s">
        <v>22</v>
      </c>
      <c r="J837" s="0" t="str">
        <f aca="false">_xlfn.XLOOKUP(C837,Departments!$A$2:$A$6,Departments!$B$2:$B$6,"Unknown")</f>
        <v>Finance</v>
      </c>
    </row>
    <row r="838" customFormat="false" ht="15" hidden="false" customHeight="false" outlineLevel="0" collapsed="false">
      <c r="A838" s="0" t="s">
        <v>865</v>
      </c>
      <c r="B838" s="4" t="n">
        <v>45765</v>
      </c>
      <c r="C838" s="0" t="s">
        <v>24</v>
      </c>
      <c r="D838" s="3" t="s">
        <v>28</v>
      </c>
      <c r="E838" s="2" t="n">
        <v>1069</v>
      </c>
      <c r="F838" s="5" t="n">
        <f aca="false">VLOOKUP(D838,Lookup!$A$2:$B$4,2,FALSE())</f>
        <v>0.05</v>
      </c>
      <c r="G838" s="2" t="n">
        <f aca="false">ROUND(E838*F838,2)</f>
        <v>53.45</v>
      </c>
      <c r="H838" s="2" t="n">
        <f aca="false">E838+G838</f>
        <v>1122.45</v>
      </c>
      <c r="I838" s="3" t="s">
        <v>22</v>
      </c>
      <c r="J838" s="0" t="str">
        <f aca="false">_xlfn.XLOOKUP(C838,Departments!$A$2:$A$6,Departments!$B$2:$B$6,"Unknown")</f>
        <v>Quality</v>
      </c>
    </row>
    <row r="839" customFormat="false" ht="15" hidden="false" customHeight="false" outlineLevel="0" collapsed="false">
      <c r="A839" s="0" t="s">
        <v>866</v>
      </c>
      <c r="B839" s="4" t="n">
        <v>45766</v>
      </c>
      <c r="C839" s="0" t="s">
        <v>27</v>
      </c>
      <c r="D839" s="3" t="s">
        <v>21</v>
      </c>
      <c r="E839" s="2" t="n">
        <v>1106</v>
      </c>
      <c r="F839" s="5" t="n">
        <f aca="false">VLOOKUP(D839,Lookup!$A$2:$B$4,2,FALSE())</f>
        <v>0.1</v>
      </c>
      <c r="G839" s="2" t="n">
        <f aca="false">ROUND(E839*F839,2)</f>
        <v>110.6</v>
      </c>
      <c r="H839" s="2" t="n">
        <f aca="false">E839+G839</f>
        <v>1216.6</v>
      </c>
      <c r="I839" s="3" t="s">
        <v>22</v>
      </c>
      <c r="J839" s="0" t="str">
        <f aca="false">_xlfn.XLOOKUP(C839,Departments!$A$2:$A$6,Departments!$B$2:$B$6,"Unknown")</f>
        <v>Human Resources</v>
      </c>
    </row>
    <row r="840" customFormat="false" ht="15" hidden="false" customHeight="false" outlineLevel="0" collapsed="false">
      <c r="A840" s="0" t="s">
        <v>867</v>
      </c>
      <c r="B840" s="4" t="n">
        <v>45767</v>
      </c>
      <c r="C840" s="0" t="s">
        <v>30</v>
      </c>
      <c r="D840" s="3" t="s">
        <v>25</v>
      </c>
      <c r="E840" s="2" t="n">
        <v>1143</v>
      </c>
      <c r="F840" s="5" t="n">
        <f aca="false">VLOOKUP(D840,Lookup!$A$2:$B$4,2,FALSE())</f>
        <v>0.15</v>
      </c>
      <c r="G840" s="2" t="n">
        <f aca="false">ROUND(E840*F840,2)</f>
        <v>171.45</v>
      </c>
      <c r="H840" s="2" t="n">
        <f aca="false">E840+G840</f>
        <v>1314.45</v>
      </c>
      <c r="I840" s="3" t="s">
        <v>22</v>
      </c>
      <c r="J840" s="0" t="str">
        <f aca="false">_xlfn.XLOOKUP(C840,Departments!$A$2:$A$6,Departments!$B$2:$B$6,"Unknown")</f>
        <v>Technology</v>
      </c>
    </row>
    <row r="841" customFormat="false" ht="15" hidden="false" customHeight="false" outlineLevel="0" collapsed="false">
      <c r="A841" s="0" t="s">
        <v>868</v>
      </c>
      <c r="B841" s="4" t="n">
        <v>45768</v>
      </c>
      <c r="C841" s="0" t="s">
        <v>32</v>
      </c>
      <c r="D841" s="3" t="s">
        <v>28</v>
      </c>
      <c r="E841" s="2" t="n">
        <v>1180</v>
      </c>
      <c r="F841" s="5" t="n">
        <f aca="false">VLOOKUP(D841,Lookup!$A$2:$B$4,2,FALSE())</f>
        <v>0.05</v>
      </c>
      <c r="G841" s="2" t="n">
        <f aca="false">ROUND(E841*F841,2)</f>
        <v>59</v>
      </c>
      <c r="H841" s="2" t="n">
        <f aca="false">E841+G841</f>
        <v>1239</v>
      </c>
      <c r="I841" s="3" t="s">
        <v>35</v>
      </c>
      <c r="J841" s="0" t="str">
        <f aca="false">_xlfn.XLOOKUP(C841,Departments!$A$2:$A$6,Departments!$B$2:$B$6,"Unknown")</f>
        <v>Operations</v>
      </c>
    </row>
    <row r="842" customFormat="false" ht="15" hidden="false" customHeight="false" outlineLevel="0" collapsed="false">
      <c r="A842" s="0" t="s">
        <v>869</v>
      </c>
      <c r="B842" s="4" t="n">
        <v>45769</v>
      </c>
      <c r="C842" s="0" t="s">
        <v>20</v>
      </c>
      <c r="D842" s="3" t="s">
        <v>21</v>
      </c>
      <c r="E842" s="2" t="n">
        <v>1217</v>
      </c>
      <c r="F842" s="5" t="n">
        <f aca="false">VLOOKUP(D842,Lookup!$A$2:$B$4,2,FALSE())</f>
        <v>0.1</v>
      </c>
      <c r="G842" s="2" t="n">
        <f aca="false">ROUND(E842*F842,2)</f>
        <v>121.7</v>
      </c>
      <c r="H842" s="2" t="n">
        <f aca="false">E842+G842</f>
        <v>1338.7</v>
      </c>
      <c r="I842" s="3" t="s">
        <v>22</v>
      </c>
      <c r="J842" s="0" t="str">
        <f aca="false">_xlfn.XLOOKUP(C842,Departments!$A$2:$A$6,Departments!$B$2:$B$6,"Unknown")</f>
        <v>Finance</v>
      </c>
    </row>
    <row r="843" customFormat="false" ht="15" hidden="false" customHeight="false" outlineLevel="0" collapsed="false">
      <c r="A843" s="0" t="s">
        <v>870</v>
      </c>
      <c r="B843" s="4" t="n">
        <v>45770</v>
      </c>
      <c r="C843" s="0" t="s">
        <v>24</v>
      </c>
      <c r="D843" s="3" t="s">
        <v>25</v>
      </c>
      <c r="E843" s="2" t="n">
        <v>1254</v>
      </c>
      <c r="F843" s="5" t="n">
        <f aca="false">VLOOKUP(D843,Lookup!$A$2:$B$4,2,FALSE())</f>
        <v>0.15</v>
      </c>
      <c r="G843" s="2" t="n">
        <f aca="false">ROUND(E843*F843,2)</f>
        <v>188.1</v>
      </c>
      <c r="H843" s="2" t="n">
        <f aca="false">E843+G843</f>
        <v>1442.1</v>
      </c>
      <c r="I843" s="3" t="s">
        <v>22</v>
      </c>
      <c r="J843" s="0" t="str">
        <f aca="false">_xlfn.XLOOKUP(C843,Departments!$A$2:$A$6,Departments!$B$2:$B$6,"Unknown")</f>
        <v>Quality</v>
      </c>
    </row>
    <row r="844" customFormat="false" ht="15" hidden="false" customHeight="false" outlineLevel="0" collapsed="false">
      <c r="A844" s="0" t="s">
        <v>871</v>
      </c>
      <c r="B844" s="4" t="n">
        <v>45771</v>
      </c>
      <c r="C844" s="0" t="s">
        <v>27</v>
      </c>
      <c r="D844" s="3" t="s">
        <v>28</v>
      </c>
      <c r="E844" s="2" t="n">
        <v>1291</v>
      </c>
      <c r="F844" s="5" t="n">
        <f aca="false">VLOOKUP(D844,Lookup!$A$2:$B$4,2,FALSE())</f>
        <v>0.05</v>
      </c>
      <c r="G844" s="2" t="n">
        <f aca="false">ROUND(E844*F844,2)</f>
        <v>64.55</v>
      </c>
      <c r="H844" s="2" t="n">
        <f aca="false">E844+G844</f>
        <v>1355.55</v>
      </c>
      <c r="I844" s="3" t="s">
        <v>22</v>
      </c>
      <c r="J844" s="0" t="str">
        <f aca="false">_xlfn.XLOOKUP(C844,Departments!$A$2:$A$6,Departments!$B$2:$B$6,"Unknown")</f>
        <v>Human Resources</v>
      </c>
    </row>
    <row r="845" customFormat="false" ht="15" hidden="false" customHeight="false" outlineLevel="0" collapsed="false">
      <c r="A845" s="0" t="s">
        <v>872</v>
      </c>
      <c r="B845" s="4" t="n">
        <v>45772</v>
      </c>
      <c r="C845" s="0" t="s">
        <v>30</v>
      </c>
      <c r="D845" s="3" t="s">
        <v>21</v>
      </c>
      <c r="E845" s="2" t="n">
        <v>1328</v>
      </c>
      <c r="F845" s="5" t="n">
        <f aca="false">VLOOKUP(D845,Lookup!$A$2:$B$4,2,FALSE())</f>
        <v>0.1</v>
      </c>
      <c r="G845" s="2" t="n">
        <f aca="false">ROUND(E845*F845,2)</f>
        <v>132.8</v>
      </c>
      <c r="H845" s="2" t="n">
        <f aca="false">E845+G845</f>
        <v>1460.8</v>
      </c>
      <c r="I845" s="3" t="s">
        <v>22</v>
      </c>
      <c r="J845" s="0" t="str">
        <f aca="false">_xlfn.XLOOKUP(C845,Departments!$A$2:$A$6,Departments!$B$2:$B$6,"Unknown")</f>
        <v>Technology</v>
      </c>
    </row>
    <row r="846" customFormat="false" ht="15" hidden="false" customHeight="false" outlineLevel="0" collapsed="false">
      <c r="A846" s="0" t="s">
        <v>873</v>
      </c>
      <c r="B846" s="4" t="n">
        <v>45773</v>
      </c>
      <c r="C846" s="0" t="s">
        <v>32</v>
      </c>
      <c r="D846" s="3" t="s">
        <v>25</v>
      </c>
      <c r="E846" s="2" t="n">
        <v>1365</v>
      </c>
      <c r="F846" s="5" t="n">
        <f aca="false">VLOOKUP(D846,Lookup!$A$2:$B$4,2,FALSE())</f>
        <v>0.15</v>
      </c>
      <c r="G846" s="2" t="n">
        <f aca="false">ROUND(E846*F846,2)</f>
        <v>204.75</v>
      </c>
      <c r="H846" s="2" t="n">
        <f aca="false">E846+G846</f>
        <v>1569.75</v>
      </c>
      <c r="I846" s="3" t="s">
        <v>22</v>
      </c>
      <c r="J846" s="0" t="str">
        <f aca="false">_xlfn.XLOOKUP(C846,Departments!$A$2:$A$6,Departments!$B$2:$B$6,"Unknown")</f>
        <v>Operations</v>
      </c>
    </row>
    <row r="847" customFormat="false" ht="15" hidden="false" customHeight="false" outlineLevel="0" collapsed="false">
      <c r="A847" s="0" t="s">
        <v>874</v>
      </c>
      <c r="B847" s="4" t="n">
        <v>45774</v>
      </c>
      <c r="C847" s="0" t="s">
        <v>20</v>
      </c>
      <c r="D847" s="3" t="s">
        <v>28</v>
      </c>
      <c r="E847" s="2" t="n">
        <v>1402</v>
      </c>
      <c r="F847" s="5" t="n">
        <f aca="false">VLOOKUP(D847,Lookup!$A$2:$B$4,2,FALSE())</f>
        <v>0.05</v>
      </c>
      <c r="G847" s="2" t="n">
        <f aca="false">ROUND(E847*F847,2)</f>
        <v>70.1</v>
      </c>
      <c r="H847" s="2" t="n">
        <f aca="false">E847+G847</f>
        <v>1472.1</v>
      </c>
      <c r="I847" s="3" t="s">
        <v>22</v>
      </c>
      <c r="J847" s="0" t="str">
        <f aca="false">_xlfn.XLOOKUP(C847,Departments!$A$2:$A$6,Departments!$B$2:$B$6,"Unknown")</f>
        <v>Finance</v>
      </c>
    </row>
    <row r="848" customFormat="false" ht="15" hidden="false" customHeight="false" outlineLevel="0" collapsed="false">
      <c r="A848" s="0" t="s">
        <v>875</v>
      </c>
      <c r="B848" s="4" t="n">
        <v>45775</v>
      </c>
      <c r="C848" s="0" t="s">
        <v>24</v>
      </c>
      <c r="D848" s="3" t="s">
        <v>21</v>
      </c>
      <c r="E848" s="2" t="n">
        <v>1439</v>
      </c>
      <c r="F848" s="5" t="n">
        <f aca="false">VLOOKUP(D848,Lookup!$A$2:$B$4,2,FALSE())</f>
        <v>0.1</v>
      </c>
      <c r="G848" s="2" t="n">
        <f aca="false">ROUND(E848*F848,2)</f>
        <v>143.9</v>
      </c>
      <c r="H848" s="2" t="n">
        <f aca="false">E848+G848</f>
        <v>1582.9</v>
      </c>
      <c r="I848" s="3" t="s">
        <v>35</v>
      </c>
      <c r="J848" s="0" t="str">
        <f aca="false">_xlfn.XLOOKUP(C848,Departments!$A$2:$A$6,Departments!$B$2:$B$6,"Unknown")</f>
        <v>Quality</v>
      </c>
    </row>
    <row r="849" customFormat="false" ht="15" hidden="false" customHeight="false" outlineLevel="0" collapsed="false">
      <c r="A849" s="0" t="s">
        <v>876</v>
      </c>
      <c r="B849" s="4" t="n">
        <v>45776</v>
      </c>
      <c r="C849" s="0" t="s">
        <v>27</v>
      </c>
      <c r="D849" s="3" t="s">
        <v>25</v>
      </c>
      <c r="E849" s="2" t="n">
        <v>1476</v>
      </c>
      <c r="F849" s="5" t="n">
        <f aca="false">VLOOKUP(D849,Lookup!$A$2:$B$4,2,FALSE())</f>
        <v>0.15</v>
      </c>
      <c r="G849" s="2" t="n">
        <f aca="false">ROUND(E849*F849,2)</f>
        <v>221.4</v>
      </c>
      <c r="H849" s="2" t="n">
        <f aca="false">E849+G849</f>
        <v>1697.4</v>
      </c>
      <c r="I849" s="3" t="s">
        <v>22</v>
      </c>
      <c r="J849" s="0" t="str">
        <f aca="false">_xlfn.XLOOKUP(C849,Departments!$A$2:$A$6,Departments!$B$2:$B$6,"Unknown")</f>
        <v>Human Resources</v>
      </c>
    </row>
    <row r="850" customFormat="false" ht="15" hidden="false" customHeight="false" outlineLevel="0" collapsed="false">
      <c r="A850" s="0" t="s">
        <v>877</v>
      </c>
      <c r="B850" s="4" t="n">
        <v>45777</v>
      </c>
      <c r="C850" s="0" t="s">
        <v>30</v>
      </c>
      <c r="D850" s="3" t="s">
        <v>28</v>
      </c>
      <c r="E850" s="2" t="n">
        <v>1513</v>
      </c>
      <c r="F850" s="5" t="n">
        <f aca="false">VLOOKUP(D850,Lookup!$A$2:$B$4,2,FALSE())</f>
        <v>0.05</v>
      </c>
      <c r="G850" s="2" t="n">
        <f aca="false">ROUND(E850*F850,2)</f>
        <v>75.65</v>
      </c>
      <c r="H850" s="2" t="n">
        <f aca="false">E850+G850</f>
        <v>1588.65</v>
      </c>
      <c r="I850" s="3" t="s">
        <v>22</v>
      </c>
      <c r="J850" s="0" t="str">
        <f aca="false">_xlfn.XLOOKUP(C850,Departments!$A$2:$A$6,Departments!$B$2:$B$6,"Unknown")</f>
        <v>Technology</v>
      </c>
    </row>
    <row r="851" customFormat="false" ht="15" hidden="false" customHeight="false" outlineLevel="0" collapsed="false">
      <c r="A851" s="0" t="s">
        <v>878</v>
      </c>
      <c r="B851" s="4" t="n">
        <v>45778</v>
      </c>
      <c r="C851" s="0" t="s">
        <v>32</v>
      </c>
      <c r="D851" s="3" t="s">
        <v>21</v>
      </c>
      <c r="E851" s="2" t="n">
        <v>1550</v>
      </c>
      <c r="F851" s="5" t="n">
        <f aca="false">VLOOKUP(D851,Lookup!$A$2:$B$4,2,FALSE())</f>
        <v>0.1</v>
      </c>
      <c r="G851" s="2" t="n">
        <f aca="false">ROUND(E851*F851,2)</f>
        <v>155</v>
      </c>
      <c r="H851" s="2" t="n">
        <f aca="false">E851+G851</f>
        <v>1705</v>
      </c>
      <c r="I851" s="3" t="s">
        <v>22</v>
      </c>
      <c r="J851" s="0" t="str">
        <f aca="false">_xlfn.XLOOKUP(C851,Departments!$A$2:$A$6,Departments!$B$2:$B$6,"Unknown")</f>
        <v>Operations</v>
      </c>
    </row>
    <row r="852" customFormat="false" ht="15" hidden="false" customHeight="false" outlineLevel="0" collapsed="false">
      <c r="A852" s="0" t="s">
        <v>879</v>
      </c>
      <c r="B852" s="4" t="n">
        <v>45779</v>
      </c>
      <c r="C852" s="0" t="s">
        <v>20</v>
      </c>
      <c r="D852" s="3" t="s">
        <v>25</v>
      </c>
      <c r="E852" s="2" t="n">
        <v>1587</v>
      </c>
      <c r="F852" s="5" t="n">
        <f aca="false">VLOOKUP(D852,Lookup!$A$2:$B$4,2,FALSE())</f>
        <v>0.15</v>
      </c>
      <c r="G852" s="2" t="n">
        <f aca="false">ROUND(E852*F852,2)</f>
        <v>238.05</v>
      </c>
      <c r="H852" s="2" t="n">
        <f aca="false">E852+G852</f>
        <v>1825.05</v>
      </c>
      <c r="I852" s="3" t="s">
        <v>22</v>
      </c>
      <c r="J852" s="0" t="str">
        <f aca="false">_xlfn.XLOOKUP(C852,Departments!$A$2:$A$6,Departments!$B$2:$B$6,"Unknown")</f>
        <v>Finance</v>
      </c>
    </row>
    <row r="853" customFormat="false" ht="15" hidden="false" customHeight="false" outlineLevel="0" collapsed="false">
      <c r="A853" s="0" t="s">
        <v>880</v>
      </c>
      <c r="B853" s="4" t="n">
        <v>45780</v>
      </c>
      <c r="C853" s="0" t="s">
        <v>24</v>
      </c>
      <c r="D853" s="3" t="s">
        <v>28</v>
      </c>
      <c r="E853" s="2" t="n">
        <v>1624</v>
      </c>
      <c r="F853" s="5" t="n">
        <f aca="false">VLOOKUP(D853,Lookup!$A$2:$B$4,2,FALSE())</f>
        <v>0.05</v>
      </c>
      <c r="G853" s="2" t="n">
        <f aca="false">ROUND(E853*F853,2)</f>
        <v>81.2</v>
      </c>
      <c r="H853" s="2" t="n">
        <f aca="false">E853+G853</f>
        <v>1705.2</v>
      </c>
      <c r="I853" s="3" t="s">
        <v>22</v>
      </c>
      <c r="J853" s="0" t="str">
        <f aca="false">_xlfn.XLOOKUP(C853,Departments!$A$2:$A$6,Departments!$B$2:$B$6,"Unknown")</f>
        <v>Quality</v>
      </c>
    </row>
    <row r="854" customFormat="false" ht="15" hidden="false" customHeight="false" outlineLevel="0" collapsed="false">
      <c r="A854" s="0" t="s">
        <v>881</v>
      </c>
      <c r="B854" s="4" t="n">
        <v>45781</v>
      </c>
      <c r="C854" s="0" t="s">
        <v>27</v>
      </c>
      <c r="D854" s="3" t="s">
        <v>21</v>
      </c>
      <c r="E854" s="2" t="n">
        <v>1661</v>
      </c>
      <c r="F854" s="5" t="n">
        <f aca="false">VLOOKUP(D854,Lookup!$A$2:$B$4,2,FALSE())</f>
        <v>0.1</v>
      </c>
      <c r="G854" s="2" t="n">
        <f aca="false">ROUND(E854*F854,2)</f>
        <v>166.1</v>
      </c>
      <c r="H854" s="2" t="n">
        <f aca="false">E854+G854</f>
        <v>1827.1</v>
      </c>
      <c r="I854" s="3" t="s">
        <v>22</v>
      </c>
      <c r="J854" s="0" t="str">
        <f aca="false">_xlfn.XLOOKUP(C854,Departments!$A$2:$A$6,Departments!$B$2:$B$6,"Unknown")</f>
        <v>Human Resources</v>
      </c>
    </row>
    <row r="855" customFormat="false" ht="15" hidden="false" customHeight="false" outlineLevel="0" collapsed="false">
      <c r="A855" s="0" t="s">
        <v>882</v>
      </c>
      <c r="B855" s="4" t="n">
        <v>45782</v>
      </c>
      <c r="C855" s="0" t="s">
        <v>30</v>
      </c>
      <c r="D855" s="3" t="s">
        <v>25</v>
      </c>
      <c r="E855" s="2" t="n">
        <v>1698</v>
      </c>
      <c r="F855" s="5" t="n">
        <f aca="false">VLOOKUP(D855,Lookup!$A$2:$B$4,2,FALSE())</f>
        <v>0.15</v>
      </c>
      <c r="G855" s="2" t="n">
        <f aca="false">ROUND(E855*F855,2)</f>
        <v>254.7</v>
      </c>
      <c r="H855" s="2" t="n">
        <f aca="false">E855+G855</f>
        <v>1952.7</v>
      </c>
      <c r="I855" s="3" t="s">
        <v>35</v>
      </c>
      <c r="J855" s="0" t="str">
        <f aca="false">_xlfn.XLOOKUP(C855,Departments!$A$2:$A$6,Departments!$B$2:$B$6,"Unknown")</f>
        <v>Technology</v>
      </c>
    </row>
    <row r="856" customFormat="false" ht="15" hidden="false" customHeight="false" outlineLevel="0" collapsed="false">
      <c r="A856" s="0" t="s">
        <v>883</v>
      </c>
      <c r="B856" s="4" t="n">
        <v>45783</v>
      </c>
      <c r="C856" s="0" t="s">
        <v>32</v>
      </c>
      <c r="D856" s="3" t="s">
        <v>28</v>
      </c>
      <c r="E856" s="2" t="n">
        <v>1735</v>
      </c>
      <c r="F856" s="5" t="n">
        <f aca="false">VLOOKUP(D856,Lookup!$A$2:$B$4,2,FALSE())</f>
        <v>0.05</v>
      </c>
      <c r="G856" s="2" t="n">
        <f aca="false">ROUND(E856*F856,2)</f>
        <v>86.75</v>
      </c>
      <c r="H856" s="2" t="n">
        <f aca="false">E856+G856</f>
        <v>1821.75</v>
      </c>
      <c r="I856" s="3" t="s">
        <v>22</v>
      </c>
      <c r="J856" s="0" t="str">
        <f aca="false">_xlfn.XLOOKUP(C856,Departments!$A$2:$A$6,Departments!$B$2:$B$6,"Unknown")</f>
        <v>Operations</v>
      </c>
    </row>
    <row r="857" customFormat="false" ht="15" hidden="false" customHeight="false" outlineLevel="0" collapsed="false">
      <c r="A857" s="0" t="s">
        <v>884</v>
      </c>
      <c r="B857" s="4" t="n">
        <v>45784</v>
      </c>
      <c r="C857" s="0" t="s">
        <v>20</v>
      </c>
      <c r="D857" s="3" t="s">
        <v>21</v>
      </c>
      <c r="E857" s="2" t="n">
        <v>1772</v>
      </c>
      <c r="F857" s="5" t="n">
        <f aca="false">VLOOKUP(D857,Lookup!$A$2:$B$4,2,FALSE())</f>
        <v>0.1</v>
      </c>
      <c r="G857" s="2" t="n">
        <f aca="false">ROUND(E857*F857,2)</f>
        <v>177.2</v>
      </c>
      <c r="H857" s="2" t="n">
        <f aca="false">E857+G857</f>
        <v>1949.2</v>
      </c>
      <c r="I857" s="3" t="s">
        <v>22</v>
      </c>
      <c r="J857" s="0" t="str">
        <f aca="false">_xlfn.XLOOKUP(C857,Departments!$A$2:$A$6,Departments!$B$2:$B$6,"Unknown")</f>
        <v>Finance</v>
      </c>
    </row>
    <row r="858" customFormat="false" ht="15" hidden="false" customHeight="false" outlineLevel="0" collapsed="false">
      <c r="A858" s="0" t="s">
        <v>885</v>
      </c>
      <c r="B858" s="4" t="n">
        <v>45785</v>
      </c>
      <c r="C858" s="0" t="s">
        <v>24</v>
      </c>
      <c r="D858" s="3" t="s">
        <v>25</v>
      </c>
      <c r="E858" s="2" t="n">
        <v>1809</v>
      </c>
      <c r="F858" s="5" t="n">
        <f aca="false">VLOOKUP(D858,Lookup!$A$2:$B$4,2,FALSE())</f>
        <v>0.15</v>
      </c>
      <c r="G858" s="2" t="n">
        <f aca="false">ROUND(E858*F858,2)</f>
        <v>271.35</v>
      </c>
      <c r="H858" s="2" t="n">
        <f aca="false">E858+G858</f>
        <v>2080.35</v>
      </c>
      <c r="I858" s="3" t="s">
        <v>22</v>
      </c>
      <c r="J858" s="0" t="str">
        <f aca="false">_xlfn.XLOOKUP(C858,Departments!$A$2:$A$6,Departments!$B$2:$B$6,"Unknown")</f>
        <v>Quality</v>
      </c>
    </row>
    <row r="859" customFormat="false" ht="15" hidden="false" customHeight="false" outlineLevel="0" collapsed="false">
      <c r="A859" s="0" t="s">
        <v>886</v>
      </c>
      <c r="B859" s="4" t="n">
        <v>45786</v>
      </c>
      <c r="C859" s="0" t="s">
        <v>27</v>
      </c>
      <c r="D859" s="3" t="s">
        <v>28</v>
      </c>
      <c r="E859" s="2" t="n">
        <v>1846</v>
      </c>
      <c r="F859" s="5" t="n">
        <f aca="false">VLOOKUP(D859,Lookup!$A$2:$B$4,2,FALSE())</f>
        <v>0.05</v>
      </c>
      <c r="G859" s="2" t="n">
        <f aca="false">ROUND(E859*F859,2)</f>
        <v>92.3</v>
      </c>
      <c r="H859" s="2" t="n">
        <f aca="false">E859+G859</f>
        <v>1938.3</v>
      </c>
      <c r="I859" s="3" t="s">
        <v>22</v>
      </c>
      <c r="J859" s="0" t="str">
        <f aca="false">_xlfn.XLOOKUP(C859,Departments!$A$2:$A$6,Departments!$B$2:$B$6,"Unknown")</f>
        <v>Human Resources</v>
      </c>
    </row>
    <row r="860" customFormat="false" ht="15" hidden="false" customHeight="false" outlineLevel="0" collapsed="false">
      <c r="A860" s="0" t="s">
        <v>887</v>
      </c>
      <c r="B860" s="4" t="n">
        <v>45787</v>
      </c>
      <c r="C860" s="0" t="s">
        <v>30</v>
      </c>
      <c r="D860" s="3" t="s">
        <v>21</v>
      </c>
      <c r="E860" s="2" t="n">
        <v>1883</v>
      </c>
      <c r="F860" s="5" t="n">
        <f aca="false">VLOOKUP(D860,Lookup!$A$2:$B$4,2,FALSE())</f>
        <v>0.1</v>
      </c>
      <c r="G860" s="2" t="n">
        <f aca="false">ROUND(E860*F860,2)</f>
        <v>188.3</v>
      </c>
      <c r="H860" s="2" t="n">
        <f aca="false">E860+G860</f>
        <v>2071.3</v>
      </c>
      <c r="I860" s="3" t="s">
        <v>22</v>
      </c>
      <c r="J860" s="0" t="str">
        <f aca="false">_xlfn.XLOOKUP(C860,Departments!$A$2:$A$6,Departments!$B$2:$B$6,"Unknown")</f>
        <v>Technology</v>
      </c>
    </row>
    <row r="861" customFormat="false" ht="15" hidden="false" customHeight="false" outlineLevel="0" collapsed="false">
      <c r="A861" s="0" t="s">
        <v>888</v>
      </c>
      <c r="B861" s="4" t="n">
        <v>45788</v>
      </c>
      <c r="C861" s="0" t="s">
        <v>32</v>
      </c>
      <c r="D861" s="3" t="s">
        <v>25</v>
      </c>
      <c r="E861" s="2" t="n">
        <v>1920</v>
      </c>
      <c r="F861" s="5" t="n">
        <f aca="false">VLOOKUP(D861,Lookup!$A$2:$B$4,2,FALSE())</f>
        <v>0.15</v>
      </c>
      <c r="G861" s="2" t="n">
        <f aca="false">ROUND(E861*F861,2)</f>
        <v>288</v>
      </c>
      <c r="H861" s="2" t="n">
        <f aca="false">E861+G861</f>
        <v>2208</v>
      </c>
      <c r="I861" s="3" t="s">
        <v>22</v>
      </c>
      <c r="J861" s="0" t="str">
        <f aca="false">_xlfn.XLOOKUP(C861,Departments!$A$2:$A$6,Departments!$B$2:$B$6,"Unknown")</f>
        <v>Operations</v>
      </c>
    </row>
    <row r="862" customFormat="false" ht="15" hidden="false" customHeight="false" outlineLevel="0" collapsed="false">
      <c r="A862" s="0" t="s">
        <v>889</v>
      </c>
      <c r="B862" s="4" t="n">
        <v>45789</v>
      </c>
      <c r="C862" s="0" t="s">
        <v>20</v>
      </c>
      <c r="D862" s="3" t="s">
        <v>28</v>
      </c>
      <c r="E862" s="2" t="n">
        <v>1957</v>
      </c>
      <c r="F862" s="5" t="n">
        <f aca="false">VLOOKUP(D862,Lookup!$A$2:$B$4,2,FALSE())</f>
        <v>0.05</v>
      </c>
      <c r="G862" s="2" t="n">
        <f aca="false">ROUND(E862*F862,2)</f>
        <v>97.85</v>
      </c>
      <c r="H862" s="2" t="n">
        <f aca="false">E862+G862</f>
        <v>2054.85</v>
      </c>
      <c r="I862" s="3" t="s">
        <v>35</v>
      </c>
      <c r="J862" s="0" t="str">
        <f aca="false">_xlfn.XLOOKUP(C862,Departments!$A$2:$A$6,Departments!$B$2:$B$6,"Unknown")</f>
        <v>Finance</v>
      </c>
    </row>
    <row r="863" customFormat="false" ht="15" hidden="false" customHeight="false" outlineLevel="0" collapsed="false">
      <c r="A863" s="0" t="s">
        <v>890</v>
      </c>
      <c r="B863" s="4" t="n">
        <v>45790</v>
      </c>
      <c r="C863" s="0" t="s">
        <v>24</v>
      </c>
      <c r="D863" s="3" t="s">
        <v>21</v>
      </c>
      <c r="E863" s="2" t="n">
        <v>1994</v>
      </c>
      <c r="F863" s="5" t="n">
        <f aca="false">VLOOKUP(D863,Lookup!$A$2:$B$4,2,FALSE())</f>
        <v>0.1</v>
      </c>
      <c r="G863" s="2" t="n">
        <f aca="false">ROUND(E863*F863,2)</f>
        <v>199.4</v>
      </c>
      <c r="H863" s="2" t="n">
        <f aca="false">E863+G863</f>
        <v>2193.4</v>
      </c>
      <c r="I863" s="3" t="s">
        <v>22</v>
      </c>
      <c r="J863" s="0" t="str">
        <f aca="false">_xlfn.XLOOKUP(C863,Departments!$A$2:$A$6,Departments!$B$2:$B$6,"Unknown")</f>
        <v>Quality</v>
      </c>
    </row>
    <row r="864" customFormat="false" ht="15" hidden="false" customHeight="false" outlineLevel="0" collapsed="false">
      <c r="A864" s="0" t="s">
        <v>891</v>
      </c>
      <c r="B864" s="4" t="n">
        <v>45791</v>
      </c>
      <c r="C864" s="0" t="s">
        <v>27</v>
      </c>
      <c r="D864" s="3" t="s">
        <v>25</v>
      </c>
      <c r="E864" s="2" t="n">
        <v>2031</v>
      </c>
      <c r="F864" s="5" t="n">
        <f aca="false">VLOOKUP(D864,Lookup!$A$2:$B$4,2,FALSE())</f>
        <v>0.15</v>
      </c>
      <c r="G864" s="2" t="n">
        <f aca="false">ROUND(E864*F864,2)</f>
        <v>304.65</v>
      </c>
      <c r="H864" s="2" t="n">
        <f aca="false">E864+G864</f>
        <v>2335.65</v>
      </c>
      <c r="I864" s="3" t="s">
        <v>22</v>
      </c>
      <c r="J864" s="0" t="str">
        <f aca="false">_xlfn.XLOOKUP(C864,Departments!$A$2:$A$6,Departments!$B$2:$B$6,"Unknown")</f>
        <v>Human Resources</v>
      </c>
    </row>
    <row r="865" customFormat="false" ht="15" hidden="false" customHeight="false" outlineLevel="0" collapsed="false">
      <c r="A865" s="0" t="s">
        <v>892</v>
      </c>
      <c r="B865" s="4" t="n">
        <v>45792</v>
      </c>
      <c r="C865" s="0" t="s">
        <v>30</v>
      </c>
      <c r="D865" s="3" t="s">
        <v>28</v>
      </c>
      <c r="E865" s="2" t="n">
        <v>2068</v>
      </c>
      <c r="F865" s="5" t="n">
        <f aca="false">VLOOKUP(D865,Lookup!$A$2:$B$4,2,FALSE())</f>
        <v>0.05</v>
      </c>
      <c r="G865" s="2" t="n">
        <f aca="false">ROUND(E865*F865,2)</f>
        <v>103.4</v>
      </c>
      <c r="H865" s="2" t="n">
        <f aca="false">E865+G865</f>
        <v>2171.4</v>
      </c>
      <c r="I865" s="3" t="s">
        <v>22</v>
      </c>
      <c r="J865" s="0" t="str">
        <f aca="false">_xlfn.XLOOKUP(C865,Departments!$A$2:$A$6,Departments!$B$2:$B$6,"Unknown")</f>
        <v>Technology</v>
      </c>
    </row>
    <row r="866" customFormat="false" ht="15" hidden="false" customHeight="false" outlineLevel="0" collapsed="false">
      <c r="A866" s="0" t="s">
        <v>893</v>
      </c>
      <c r="B866" s="4" t="n">
        <v>45793</v>
      </c>
      <c r="C866" s="0" t="s">
        <v>32</v>
      </c>
      <c r="D866" s="3" t="s">
        <v>21</v>
      </c>
      <c r="E866" s="2" t="n">
        <v>2105</v>
      </c>
      <c r="F866" s="5" t="n">
        <f aca="false">VLOOKUP(D866,Lookup!$A$2:$B$4,2,FALSE())</f>
        <v>0.1</v>
      </c>
      <c r="G866" s="2" t="n">
        <f aca="false">ROUND(E866*F866,2)</f>
        <v>210.5</v>
      </c>
      <c r="H866" s="2" t="n">
        <f aca="false">E866+G866</f>
        <v>2315.5</v>
      </c>
      <c r="I866" s="3" t="s">
        <v>22</v>
      </c>
      <c r="J866" s="0" t="str">
        <f aca="false">_xlfn.XLOOKUP(C866,Departments!$A$2:$A$6,Departments!$B$2:$B$6,"Unknown")</f>
        <v>Operations</v>
      </c>
    </row>
    <row r="867" customFormat="false" ht="15" hidden="false" customHeight="false" outlineLevel="0" collapsed="false">
      <c r="A867" s="0" t="s">
        <v>894</v>
      </c>
      <c r="B867" s="4" t="n">
        <v>45794</v>
      </c>
      <c r="C867" s="0" t="s">
        <v>20</v>
      </c>
      <c r="D867" s="3" t="s">
        <v>25</v>
      </c>
      <c r="E867" s="2" t="n">
        <v>2142</v>
      </c>
      <c r="F867" s="5" t="n">
        <f aca="false">VLOOKUP(D867,Lookup!$A$2:$B$4,2,FALSE())</f>
        <v>0.15</v>
      </c>
      <c r="G867" s="2" t="n">
        <f aca="false">ROUND(E867*F867,2)</f>
        <v>321.3</v>
      </c>
      <c r="H867" s="2" t="n">
        <f aca="false">E867+G867</f>
        <v>2463.3</v>
      </c>
      <c r="I867" s="3" t="s">
        <v>22</v>
      </c>
      <c r="J867" s="0" t="str">
        <f aca="false">_xlfn.XLOOKUP(C867,Departments!$A$2:$A$6,Departments!$B$2:$B$6,"Unknown")</f>
        <v>Finance</v>
      </c>
    </row>
    <row r="868" customFormat="false" ht="15" hidden="false" customHeight="false" outlineLevel="0" collapsed="false">
      <c r="A868" s="0" t="s">
        <v>895</v>
      </c>
      <c r="B868" s="4" t="n">
        <v>45795</v>
      </c>
      <c r="C868" s="0" t="s">
        <v>24</v>
      </c>
      <c r="D868" s="3" t="s">
        <v>28</v>
      </c>
      <c r="E868" s="2" t="n">
        <v>2179</v>
      </c>
      <c r="F868" s="5" t="n">
        <f aca="false">VLOOKUP(D868,Lookup!$A$2:$B$4,2,FALSE())</f>
        <v>0.05</v>
      </c>
      <c r="G868" s="2" t="n">
        <f aca="false">ROUND(E868*F868,2)</f>
        <v>108.95</v>
      </c>
      <c r="H868" s="2" t="n">
        <f aca="false">E868+G868</f>
        <v>2287.95</v>
      </c>
      <c r="I868" s="3" t="s">
        <v>22</v>
      </c>
      <c r="J868" s="0" t="str">
        <f aca="false">_xlfn.XLOOKUP(C868,Departments!$A$2:$A$6,Departments!$B$2:$B$6,"Unknown")</f>
        <v>Quality</v>
      </c>
    </row>
    <row r="869" customFormat="false" ht="15" hidden="false" customHeight="false" outlineLevel="0" collapsed="false">
      <c r="A869" s="0" t="s">
        <v>896</v>
      </c>
      <c r="B869" s="4" t="n">
        <v>45796</v>
      </c>
      <c r="C869" s="0" t="s">
        <v>27</v>
      </c>
      <c r="D869" s="3" t="s">
        <v>21</v>
      </c>
      <c r="E869" s="2" t="n">
        <v>2216</v>
      </c>
      <c r="F869" s="5" t="n">
        <f aca="false">VLOOKUP(D869,Lookup!$A$2:$B$4,2,FALSE())</f>
        <v>0.1</v>
      </c>
      <c r="G869" s="2" t="n">
        <f aca="false">ROUND(E869*F869,2)</f>
        <v>221.6</v>
      </c>
      <c r="H869" s="2" t="n">
        <f aca="false">E869+G869</f>
        <v>2437.6</v>
      </c>
      <c r="I869" s="3" t="s">
        <v>35</v>
      </c>
      <c r="J869" s="0" t="str">
        <f aca="false">_xlfn.XLOOKUP(C869,Departments!$A$2:$A$6,Departments!$B$2:$B$6,"Unknown")</f>
        <v>Human Resources</v>
      </c>
    </row>
    <row r="870" customFormat="false" ht="15" hidden="false" customHeight="false" outlineLevel="0" collapsed="false">
      <c r="A870" s="0" t="s">
        <v>897</v>
      </c>
      <c r="B870" s="4" t="n">
        <v>45797</v>
      </c>
      <c r="C870" s="0" t="s">
        <v>30</v>
      </c>
      <c r="D870" s="3" t="s">
        <v>25</v>
      </c>
      <c r="E870" s="2" t="n">
        <v>2253</v>
      </c>
      <c r="F870" s="5" t="n">
        <f aca="false">VLOOKUP(D870,Lookup!$A$2:$B$4,2,FALSE())</f>
        <v>0.15</v>
      </c>
      <c r="G870" s="2" t="n">
        <f aca="false">ROUND(E870*F870,2)</f>
        <v>337.95</v>
      </c>
      <c r="H870" s="2" t="n">
        <f aca="false">E870+G870</f>
        <v>2590.95</v>
      </c>
      <c r="I870" s="3" t="s">
        <v>22</v>
      </c>
      <c r="J870" s="0" t="str">
        <f aca="false">_xlfn.XLOOKUP(C870,Departments!$A$2:$A$6,Departments!$B$2:$B$6,"Unknown")</f>
        <v>Technology</v>
      </c>
    </row>
    <row r="871" customFormat="false" ht="15" hidden="false" customHeight="false" outlineLevel="0" collapsed="false">
      <c r="A871" s="0" t="s">
        <v>898</v>
      </c>
      <c r="B871" s="4" t="n">
        <v>45798</v>
      </c>
      <c r="C871" s="0" t="s">
        <v>32</v>
      </c>
      <c r="D871" s="3" t="s">
        <v>28</v>
      </c>
      <c r="E871" s="2" t="n">
        <v>2290</v>
      </c>
      <c r="F871" s="5" t="n">
        <f aca="false">VLOOKUP(D871,Lookup!$A$2:$B$4,2,FALSE())</f>
        <v>0.05</v>
      </c>
      <c r="G871" s="2" t="n">
        <f aca="false">ROUND(E871*F871,2)</f>
        <v>114.5</v>
      </c>
      <c r="H871" s="2" t="n">
        <f aca="false">E871+G871</f>
        <v>2404.5</v>
      </c>
      <c r="I871" s="3" t="s">
        <v>22</v>
      </c>
      <c r="J871" s="0" t="str">
        <f aca="false">_xlfn.XLOOKUP(C871,Departments!$A$2:$A$6,Departments!$B$2:$B$6,"Unknown")</f>
        <v>Operations</v>
      </c>
    </row>
    <row r="872" customFormat="false" ht="15" hidden="false" customHeight="false" outlineLevel="0" collapsed="false">
      <c r="A872" s="0" t="s">
        <v>899</v>
      </c>
      <c r="B872" s="4" t="n">
        <v>45799</v>
      </c>
      <c r="C872" s="0" t="s">
        <v>20</v>
      </c>
      <c r="D872" s="3" t="s">
        <v>21</v>
      </c>
      <c r="E872" s="2" t="n">
        <v>2327</v>
      </c>
      <c r="F872" s="5" t="n">
        <f aca="false">VLOOKUP(D872,Lookup!$A$2:$B$4,2,FALSE())</f>
        <v>0.1</v>
      </c>
      <c r="G872" s="2" t="n">
        <f aca="false">ROUND(E872*F872,2)</f>
        <v>232.7</v>
      </c>
      <c r="H872" s="2" t="n">
        <f aca="false">E872+G872</f>
        <v>2559.7</v>
      </c>
      <c r="I872" s="3" t="s">
        <v>22</v>
      </c>
      <c r="J872" s="0" t="str">
        <f aca="false">_xlfn.XLOOKUP(C872,Departments!$A$2:$A$6,Departments!$B$2:$B$6,"Unknown")</f>
        <v>Finance</v>
      </c>
    </row>
    <row r="873" customFormat="false" ht="15" hidden="false" customHeight="false" outlineLevel="0" collapsed="false">
      <c r="A873" s="0" t="s">
        <v>900</v>
      </c>
      <c r="B873" s="4" t="n">
        <v>45800</v>
      </c>
      <c r="C873" s="0" t="s">
        <v>24</v>
      </c>
      <c r="D873" s="3" t="s">
        <v>25</v>
      </c>
      <c r="E873" s="2" t="n">
        <v>2364</v>
      </c>
      <c r="F873" s="5" t="n">
        <f aca="false">VLOOKUP(D873,Lookup!$A$2:$B$4,2,FALSE())</f>
        <v>0.15</v>
      </c>
      <c r="G873" s="2" t="n">
        <f aca="false">ROUND(E873*F873,2)</f>
        <v>354.6</v>
      </c>
      <c r="H873" s="2" t="n">
        <f aca="false">E873+G873</f>
        <v>2718.6</v>
      </c>
      <c r="I873" s="3" t="s">
        <v>22</v>
      </c>
      <c r="J873" s="0" t="str">
        <f aca="false">_xlfn.XLOOKUP(C873,Departments!$A$2:$A$6,Departments!$B$2:$B$6,"Unknown")</f>
        <v>Quality</v>
      </c>
    </row>
    <row r="874" customFormat="false" ht="15" hidden="false" customHeight="false" outlineLevel="0" collapsed="false">
      <c r="A874" s="0" t="s">
        <v>901</v>
      </c>
      <c r="B874" s="4" t="n">
        <v>45801</v>
      </c>
      <c r="C874" s="0" t="s">
        <v>27</v>
      </c>
      <c r="D874" s="3" t="s">
        <v>28</v>
      </c>
      <c r="E874" s="2" t="n">
        <v>2401</v>
      </c>
      <c r="F874" s="5" t="n">
        <f aca="false">VLOOKUP(D874,Lookup!$A$2:$B$4,2,FALSE())</f>
        <v>0.05</v>
      </c>
      <c r="G874" s="2" t="n">
        <f aca="false">ROUND(E874*F874,2)</f>
        <v>120.05</v>
      </c>
      <c r="H874" s="2" t="n">
        <f aca="false">E874+G874</f>
        <v>2521.05</v>
      </c>
      <c r="I874" s="3" t="s">
        <v>22</v>
      </c>
      <c r="J874" s="0" t="str">
        <f aca="false">_xlfn.XLOOKUP(C874,Departments!$A$2:$A$6,Departments!$B$2:$B$6,"Unknown")</f>
        <v>Human Resources</v>
      </c>
    </row>
    <row r="875" customFormat="false" ht="15" hidden="false" customHeight="false" outlineLevel="0" collapsed="false">
      <c r="A875" s="0" t="s">
        <v>902</v>
      </c>
      <c r="B875" s="4" t="n">
        <v>45802</v>
      </c>
      <c r="C875" s="0" t="s">
        <v>30</v>
      </c>
      <c r="D875" s="3" t="s">
        <v>21</v>
      </c>
      <c r="E875" s="2" t="n">
        <v>2438</v>
      </c>
      <c r="F875" s="5" t="n">
        <f aca="false">VLOOKUP(D875,Lookup!$A$2:$B$4,2,FALSE())</f>
        <v>0.1</v>
      </c>
      <c r="G875" s="2" t="n">
        <f aca="false">ROUND(E875*F875,2)</f>
        <v>243.8</v>
      </c>
      <c r="H875" s="2" t="n">
        <f aca="false">E875+G875</f>
        <v>2681.8</v>
      </c>
      <c r="I875" s="3" t="s">
        <v>22</v>
      </c>
      <c r="J875" s="0" t="str">
        <f aca="false">_xlfn.XLOOKUP(C875,Departments!$A$2:$A$6,Departments!$B$2:$B$6,"Unknown")</f>
        <v>Technology</v>
      </c>
    </row>
    <row r="876" customFormat="false" ht="15" hidden="false" customHeight="false" outlineLevel="0" collapsed="false">
      <c r="A876" s="0" t="s">
        <v>903</v>
      </c>
      <c r="B876" s="4" t="n">
        <v>45803</v>
      </c>
      <c r="C876" s="0" t="s">
        <v>32</v>
      </c>
      <c r="D876" s="3" t="s">
        <v>25</v>
      </c>
      <c r="E876" s="2" t="n">
        <v>2475</v>
      </c>
      <c r="F876" s="5" t="n">
        <f aca="false">VLOOKUP(D876,Lookup!$A$2:$B$4,2,FALSE())</f>
        <v>0.15</v>
      </c>
      <c r="G876" s="2" t="n">
        <f aca="false">ROUND(E876*F876,2)</f>
        <v>371.25</v>
      </c>
      <c r="H876" s="2" t="n">
        <f aca="false">E876+G876</f>
        <v>2846.25</v>
      </c>
      <c r="I876" s="3" t="s">
        <v>35</v>
      </c>
      <c r="J876" s="0" t="str">
        <f aca="false">_xlfn.XLOOKUP(C876,Departments!$A$2:$A$6,Departments!$B$2:$B$6,"Unknown")</f>
        <v>Operations</v>
      </c>
    </row>
    <row r="877" customFormat="false" ht="15" hidden="false" customHeight="false" outlineLevel="0" collapsed="false">
      <c r="A877" s="0" t="s">
        <v>904</v>
      </c>
      <c r="B877" s="4" t="n">
        <v>45804</v>
      </c>
      <c r="C877" s="0" t="s">
        <v>20</v>
      </c>
      <c r="D877" s="3" t="s">
        <v>28</v>
      </c>
      <c r="E877" s="2" t="n">
        <v>2512</v>
      </c>
      <c r="F877" s="5" t="n">
        <f aca="false">VLOOKUP(D877,Lookup!$A$2:$B$4,2,FALSE())</f>
        <v>0.05</v>
      </c>
      <c r="G877" s="2" t="n">
        <f aca="false">ROUND(E877*F877,2)</f>
        <v>125.6</v>
      </c>
      <c r="H877" s="2" t="n">
        <f aca="false">E877+G877</f>
        <v>2637.6</v>
      </c>
      <c r="I877" s="3" t="s">
        <v>22</v>
      </c>
      <c r="J877" s="0" t="str">
        <f aca="false">_xlfn.XLOOKUP(C877,Departments!$A$2:$A$6,Departments!$B$2:$B$6,"Unknown")</f>
        <v>Finance</v>
      </c>
    </row>
    <row r="878" customFormat="false" ht="15" hidden="false" customHeight="false" outlineLevel="0" collapsed="false">
      <c r="A878" s="0" t="s">
        <v>905</v>
      </c>
      <c r="B878" s="4" t="n">
        <v>45805</v>
      </c>
      <c r="C878" s="0" t="s">
        <v>24</v>
      </c>
      <c r="D878" s="3" t="s">
        <v>21</v>
      </c>
      <c r="E878" s="2" t="n">
        <v>2549</v>
      </c>
      <c r="F878" s="5" t="n">
        <f aca="false">VLOOKUP(D878,Lookup!$A$2:$B$4,2,FALSE())</f>
        <v>0.1</v>
      </c>
      <c r="G878" s="2" t="n">
        <f aca="false">ROUND(E878*F878,2)</f>
        <v>254.9</v>
      </c>
      <c r="H878" s="2" t="n">
        <f aca="false">E878+G878</f>
        <v>2803.9</v>
      </c>
      <c r="I878" s="3" t="s">
        <v>22</v>
      </c>
      <c r="J878" s="0" t="str">
        <f aca="false">_xlfn.XLOOKUP(C878,Departments!$A$2:$A$6,Departments!$B$2:$B$6,"Unknown")</f>
        <v>Quality</v>
      </c>
    </row>
    <row r="879" customFormat="false" ht="15" hidden="false" customHeight="false" outlineLevel="0" collapsed="false">
      <c r="A879" s="0" t="s">
        <v>906</v>
      </c>
      <c r="B879" s="4" t="n">
        <v>45806</v>
      </c>
      <c r="C879" s="0" t="s">
        <v>27</v>
      </c>
      <c r="D879" s="3" t="s">
        <v>25</v>
      </c>
      <c r="E879" s="2" t="n">
        <v>2586</v>
      </c>
      <c r="F879" s="5" t="n">
        <f aca="false">VLOOKUP(D879,Lookup!$A$2:$B$4,2,FALSE())</f>
        <v>0.15</v>
      </c>
      <c r="G879" s="2" t="n">
        <f aca="false">ROUND(E879*F879,2)</f>
        <v>387.9</v>
      </c>
      <c r="H879" s="2" t="n">
        <f aca="false">E879+G879</f>
        <v>2973.9</v>
      </c>
      <c r="I879" s="3" t="s">
        <v>22</v>
      </c>
      <c r="J879" s="0" t="str">
        <f aca="false">_xlfn.XLOOKUP(C879,Departments!$A$2:$A$6,Departments!$B$2:$B$6,"Unknown")</f>
        <v>Human Resources</v>
      </c>
    </row>
    <row r="880" customFormat="false" ht="15" hidden="false" customHeight="false" outlineLevel="0" collapsed="false">
      <c r="A880" s="0" t="s">
        <v>907</v>
      </c>
      <c r="B880" s="4" t="n">
        <v>45807</v>
      </c>
      <c r="C880" s="0" t="s">
        <v>30</v>
      </c>
      <c r="D880" s="3" t="s">
        <v>28</v>
      </c>
      <c r="E880" s="2" t="n">
        <v>2623</v>
      </c>
      <c r="F880" s="5" t="n">
        <f aca="false">VLOOKUP(D880,Lookup!$A$2:$B$4,2,FALSE())</f>
        <v>0.05</v>
      </c>
      <c r="G880" s="2" t="n">
        <f aca="false">ROUND(E880*F880,2)</f>
        <v>131.15</v>
      </c>
      <c r="H880" s="2" t="n">
        <f aca="false">E880+G880</f>
        <v>2754.15</v>
      </c>
      <c r="I880" s="3" t="s">
        <v>22</v>
      </c>
      <c r="J880" s="0" t="str">
        <f aca="false">_xlfn.XLOOKUP(C880,Departments!$A$2:$A$6,Departments!$B$2:$B$6,"Unknown")</f>
        <v>Technology</v>
      </c>
    </row>
    <row r="881" customFormat="false" ht="15" hidden="false" customHeight="false" outlineLevel="0" collapsed="false">
      <c r="A881" s="0" t="s">
        <v>908</v>
      </c>
      <c r="B881" s="4" t="n">
        <v>45808</v>
      </c>
      <c r="C881" s="0" t="s">
        <v>32</v>
      </c>
      <c r="D881" s="3" t="s">
        <v>21</v>
      </c>
      <c r="E881" s="2" t="n">
        <v>2660</v>
      </c>
      <c r="F881" s="5" t="n">
        <f aca="false">VLOOKUP(D881,Lookup!$A$2:$B$4,2,FALSE())</f>
        <v>0.1</v>
      </c>
      <c r="G881" s="2" t="n">
        <f aca="false">ROUND(E881*F881,2)</f>
        <v>266</v>
      </c>
      <c r="H881" s="2" t="n">
        <f aca="false">E881+G881</f>
        <v>2926</v>
      </c>
      <c r="I881" s="3" t="s">
        <v>22</v>
      </c>
      <c r="J881" s="0" t="str">
        <f aca="false">_xlfn.XLOOKUP(C881,Departments!$A$2:$A$6,Departments!$B$2:$B$6,"Unknown")</f>
        <v>Operations</v>
      </c>
    </row>
    <row r="882" customFormat="false" ht="15" hidden="false" customHeight="false" outlineLevel="0" collapsed="false">
      <c r="A882" s="0" t="s">
        <v>909</v>
      </c>
      <c r="B882" s="4" t="n">
        <v>45809</v>
      </c>
      <c r="C882" s="0" t="s">
        <v>20</v>
      </c>
      <c r="D882" s="3" t="s">
        <v>25</v>
      </c>
      <c r="E882" s="2" t="n">
        <v>2697</v>
      </c>
      <c r="F882" s="5" t="n">
        <f aca="false">VLOOKUP(D882,Lookup!$A$2:$B$4,2,FALSE())</f>
        <v>0.15</v>
      </c>
      <c r="G882" s="2" t="n">
        <f aca="false">ROUND(E882*F882,2)</f>
        <v>404.55</v>
      </c>
      <c r="H882" s="2" t="n">
        <f aca="false">E882+G882</f>
        <v>3101.55</v>
      </c>
      <c r="I882" s="3" t="s">
        <v>22</v>
      </c>
      <c r="J882" s="0" t="str">
        <f aca="false">_xlfn.XLOOKUP(C882,Departments!$A$2:$A$6,Departments!$B$2:$B$6,"Unknown")</f>
        <v>Finance</v>
      </c>
    </row>
    <row r="883" customFormat="false" ht="15" hidden="false" customHeight="false" outlineLevel="0" collapsed="false">
      <c r="A883" s="0" t="s">
        <v>910</v>
      </c>
      <c r="B883" s="4" t="n">
        <v>45810</v>
      </c>
      <c r="C883" s="0" t="s">
        <v>24</v>
      </c>
      <c r="D883" s="3" t="s">
        <v>28</v>
      </c>
      <c r="E883" s="2" t="n">
        <v>2734</v>
      </c>
      <c r="F883" s="5" t="n">
        <f aca="false">VLOOKUP(D883,Lookup!$A$2:$B$4,2,FALSE())</f>
        <v>0.05</v>
      </c>
      <c r="G883" s="2" t="n">
        <f aca="false">ROUND(E883*F883,2)</f>
        <v>136.7</v>
      </c>
      <c r="H883" s="2" t="n">
        <f aca="false">E883+G883</f>
        <v>2870.7</v>
      </c>
      <c r="I883" s="3" t="s">
        <v>35</v>
      </c>
      <c r="J883" s="0" t="str">
        <f aca="false">_xlfn.XLOOKUP(C883,Departments!$A$2:$A$6,Departments!$B$2:$B$6,"Unknown")</f>
        <v>Quality</v>
      </c>
    </row>
    <row r="884" customFormat="false" ht="15" hidden="false" customHeight="false" outlineLevel="0" collapsed="false">
      <c r="A884" s="0" t="s">
        <v>911</v>
      </c>
      <c r="B884" s="4" t="n">
        <v>45811</v>
      </c>
      <c r="C884" s="0" t="s">
        <v>27</v>
      </c>
      <c r="D884" s="3" t="s">
        <v>21</v>
      </c>
      <c r="E884" s="2" t="n">
        <v>2771</v>
      </c>
      <c r="F884" s="5" t="n">
        <f aca="false">VLOOKUP(D884,Lookup!$A$2:$B$4,2,FALSE())</f>
        <v>0.1</v>
      </c>
      <c r="G884" s="2" t="n">
        <f aca="false">ROUND(E884*F884,2)</f>
        <v>277.1</v>
      </c>
      <c r="H884" s="2" t="n">
        <f aca="false">E884+G884</f>
        <v>3048.1</v>
      </c>
      <c r="I884" s="3" t="s">
        <v>22</v>
      </c>
      <c r="J884" s="0" t="str">
        <f aca="false">_xlfn.XLOOKUP(C884,Departments!$A$2:$A$6,Departments!$B$2:$B$6,"Unknown")</f>
        <v>Human Resources</v>
      </c>
    </row>
    <row r="885" customFormat="false" ht="15" hidden="false" customHeight="false" outlineLevel="0" collapsed="false">
      <c r="A885" s="0" t="s">
        <v>912</v>
      </c>
      <c r="B885" s="4" t="n">
        <v>45812</v>
      </c>
      <c r="C885" s="0" t="s">
        <v>30</v>
      </c>
      <c r="D885" s="3" t="s">
        <v>25</v>
      </c>
      <c r="E885" s="2" t="n">
        <v>2808</v>
      </c>
      <c r="F885" s="5" t="n">
        <f aca="false">VLOOKUP(D885,Lookup!$A$2:$B$4,2,FALSE())</f>
        <v>0.15</v>
      </c>
      <c r="G885" s="2" t="n">
        <f aca="false">ROUND(E885*F885,2)</f>
        <v>421.2</v>
      </c>
      <c r="H885" s="2" t="n">
        <f aca="false">E885+G885</f>
        <v>3229.2</v>
      </c>
      <c r="I885" s="3" t="s">
        <v>22</v>
      </c>
      <c r="J885" s="0" t="str">
        <f aca="false">_xlfn.XLOOKUP(C885,Departments!$A$2:$A$6,Departments!$B$2:$B$6,"Unknown")</f>
        <v>Technology</v>
      </c>
    </row>
    <row r="886" customFormat="false" ht="15" hidden="false" customHeight="false" outlineLevel="0" collapsed="false">
      <c r="A886" s="0" t="s">
        <v>913</v>
      </c>
      <c r="B886" s="4" t="n">
        <v>45813</v>
      </c>
      <c r="C886" s="0" t="s">
        <v>32</v>
      </c>
      <c r="D886" s="3" t="s">
        <v>28</v>
      </c>
      <c r="E886" s="2" t="n">
        <v>2845</v>
      </c>
      <c r="F886" s="5" t="n">
        <f aca="false">VLOOKUP(D886,Lookup!$A$2:$B$4,2,FALSE())</f>
        <v>0.05</v>
      </c>
      <c r="G886" s="2" t="n">
        <f aca="false">ROUND(E886*F886,2)</f>
        <v>142.25</v>
      </c>
      <c r="H886" s="2" t="n">
        <f aca="false">E886+G886</f>
        <v>2987.25</v>
      </c>
      <c r="I886" s="3" t="s">
        <v>22</v>
      </c>
      <c r="J886" s="0" t="str">
        <f aca="false">_xlfn.XLOOKUP(C886,Departments!$A$2:$A$6,Departments!$B$2:$B$6,"Unknown")</f>
        <v>Operations</v>
      </c>
    </row>
    <row r="887" customFormat="false" ht="15" hidden="false" customHeight="false" outlineLevel="0" collapsed="false">
      <c r="A887" s="0" t="s">
        <v>914</v>
      </c>
      <c r="B887" s="4" t="n">
        <v>45814</v>
      </c>
      <c r="C887" s="0" t="s">
        <v>20</v>
      </c>
      <c r="D887" s="3" t="s">
        <v>21</v>
      </c>
      <c r="E887" s="2" t="n">
        <v>2882</v>
      </c>
      <c r="F887" s="5" t="n">
        <f aca="false">VLOOKUP(D887,Lookup!$A$2:$B$4,2,FALSE())</f>
        <v>0.1</v>
      </c>
      <c r="G887" s="2" t="n">
        <f aca="false">ROUND(E887*F887,2)</f>
        <v>288.2</v>
      </c>
      <c r="H887" s="2" t="n">
        <f aca="false">E887+G887</f>
        <v>3170.2</v>
      </c>
      <c r="I887" s="3" t="s">
        <v>22</v>
      </c>
      <c r="J887" s="0" t="str">
        <f aca="false">_xlfn.XLOOKUP(C887,Departments!$A$2:$A$6,Departments!$B$2:$B$6,"Unknown")</f>
        <v>Finance</v>
      </c>
    </row>
    <row r="888" customFormat="false" ht="15" hidden="false" customHeight="false" outlineLevel="0" collapsed="false">
      <c r="A888" s="0" t="s">
        <v>915</v>
      </c>
      <c r="B888" s="4" t="n">
        <v>45815</v>
      </c>
      <c r="C888" s="0" t="s">
        <v>24</v>
      </c>
      <c r="D888" s="3" t="s">
        <v>25</v>
      </c>
      <c r="E888" s="2" t="n">
        <v>2919</v>
      </c>
      <c r="F888" s="5" t="n">
        <f aca="false">VLOOKUP(D888,Lookup!$A$2:$B$4,2,FALSE())</f>
        <v>0.15</v>
      </c>
      <c r="G888" s="2" t="n">
        <f aca="false">ROUND(E888*F888,2)</f>
        <v>437.85</v>
      </c>
      <c r="H888" s="2" t="n">
        <f aca="false">E888+G888</f>
        <v>3356.85</v>
      </c>
      <c r="I888" s="3" t="s">
        <v>22</v>
      </c>
      <c r="J888" s="0" t="str">
        <f aca="false">_xlfn.XLOOKUP(C888,Departments!$A$2:$A$6,Departments!$B$2:$B$6,"Unknown")</f>
        <v>Quality</v>
      </c>
    </row>
    <row r="889" customFormat="false" ht="15" hidden="false" customHeight="false" outlineLevel="0" collapsed="false">
      <c r="A889" s="0" t="s">
        <v>916</v>
      </c>
      <c r="B889" s="4" t="n">
        <v>45816</v>
      </c>
      <c r="C889" s="0" t="s">
        <v>27</v>
      </c>
      <c r="D889" s="3" t="s">
        <v>28</v>
      </c>
      <c r="E889" s="2" t="n">
        <v>2956</v>
      </c>
      <c r="F889" s="5" t="n">
        <f aca="false">VLOOKUP(D889,Lookup!$A$2:$B$4,2,FALSE())</f>
        <v>0.05</v>
      </c>
      <c r="G889" s="2" t="n">
        <f aca="false">ROUND(E889*F889,2)</f>
        <v>147.8</v>
      </c>
      <c r="H889" s="2" t="n">
        <f aca="false">E889+G889</f>
        <v>3103.8</v>
      </c>
      <c r="I889" s="3" t="s">
        <v>22</v>
      </c>
      <c r="J889" s="0" t="str">
        <f aca="false">_xlfn.XLOOKUP(C889,Departments!$A$2:$A$6,Departments!$B$2:$B$6,"Unknown")</f>
        <v>Human Resources</v>
      </c>
    </row>
    <row r="890" customFormat="false" ht="15" hidden="false" customHeight="false" outlineLevel="0" collapsed="false">
      <c r="A890" s="0" t="s">
        <v>917</v>
      </c>
      <c r="B890" s="4" t="n">
        <v>45817</v>
      </c>
      <c r="C890" s="0" t="s">
        <v>30</v>
      </c>
      <c r="D890" s="3" t="s">
        <v>21</v>
      </c>
      <c r="E890" s="2" t="n">
        <v>2993</v>
      </c>
      <c r="F890" s="5" t="n">
        <f aca="false">VLOOKUP(D890,Lookup!$A$2:$B$4,2,FALSE())</f>
        <v>0.1</v>
      </c>
      <c r="G890" s="2" t="n">
        <f aca="false">ROUND(E890*F890,2)</f>
        <v>299.3</v>
      </c>
      <c r="H890" s="2" t="n">
        <f aca="false">E890+G890</f>
        <v>3292.3</v>
      </c>
      <c r="I890" s="3" t="s">
        <v>35</v>
      </c>
      <c r="J890" s="0" t="str">
        <f aca="false">_xlfn.XLOOKUP(C890,Departments!$A$2:$A$6,Departments!$B$2:$B$6,"Unknown")</f>
        <v>Technology</v>
      </c>
    </row>
    <row r="891" customFormat="false" ht="15" hidden="false" customHeight="false" outlineLevel="0" collapsed="false">
      <c r="A891" s="0" t="s">
        <v>918</v>
      </c>
      <c r="B891" s="4" t="n">
        <v>45818</v>
      </c>
      <c r="C891" s="0" t="s">
        <v>32</v>
      </c>
      <c r="D891" s="3" t="s">
        <v>25</v>
      </c>
      <c r="E891" s="2" t="n">
        <v>3030</v>
      </c>
      <c r="F891" s="5" t="n">
        <f aca="false">VLOOKUP(D891,Lookup!$A$2:$B$4,2,FALSE())</f>
        <v>0.15</v>
      </c>
      <c r="G891" s="2" t="n">
        <f aca="false">ROUND(E891*F891,2)</f>
        <v>454.5</v>
      </c>
      <c r="H891" s="2" t="n">
        <f aca="false">E891+G891</f>
        <v>3484.5</v>
      </c>
      <c r="I891" s="3" t="s">
        <v>22</v>
      </c>
      <c r="J891" s="0" t="str">
        <f aca="false">_xlfn.XLOOKUP(C891,Departments!$A$2:$A$6,Departments!$B$2:$B$6,"Unknown")</f>
        <v>Operations</v>
      </c>
    </row>
    <row r="892" customFormat="false" ht="15" hidden="false" customHeight="false" outlineLevel="0" collapsed="false">
      <c r="A892" s="0" t="s">
        <v>919</v>
      </c>
      <c r="B892" s="4" t="n">
        <v>45819</v>
      </c>
      <c r="C892" s="0" t="s">
        <v>20</v>
      </c>
      <c r="D892" s="3" t="s">
        <v>28</v>
      </c>
      <c r="E892" s="2" t="n">
        <v>3067</v>
      </c>
      <c r="F892" s="5" t="n">
        <f aca="false">VLOOKUP(D892,Lookup!$A$2:$B$4,2,FALSE())</f>
        <v>0.05</v>
      </c>
      <c r="G892" s="2" t="n">
        <f aca="false">ROUND(E892*F892,2)</f>
        <v>153.35</v>
      </c>
      <c r="H892" s="2" t="n">
        <f aca="false">E892+G892</f>
        <v>3220.35</v>
      </c>
      <c r="I892" s="3" t="s">
        <v>22</v>
      </c>
      <c r="J892" s="0" t="str">
        <f aca="false">_xlfn.XLOOKUP(C892,Departments!$A$2:$A$6,Departments!$B$2:$B$6,"Unknown")</f>
        <v>Finance</v>
      </c>
    </row>
    <row r="893" customFormat="false" ht="15" hidden="false" customHeight="false" outlineLevel="0" collapsed="false">
      <c r="A893" s="0" t="s">
        <v>920</v>
      </c>
      <c r="B893" s="4" t="n">
        <v>45820</v>
      </c>
      <c r="C893" s="0" t="s">
        <v>24</v>
      </c>
      <c r="D893" s="3" t="s">
        <v>21</v>
      </c>
      <c r="E893" s="2" t="n">
        <v>3104</v>
      </c>
      <c r="F893" s="5" t="n">
        <f aca="false">VLOOKUP(D893,Lookup!$A$2:$B$4,2,FALSE())</f>
        <v>0.1</v>
      </c>
      <c r="G893" s="2" t="n">
        <f aca="false">ROUND(E893*F893,2)</f>
        <v>310.4</v>
      </c>
      <c r="H893" s="2" t="n">
        <f aca="false">E893+G893</f>
        <v>3414.4</v>
      </c>
      <c r="I893" s="3" t="s">
        <v>22</v>
      </c>
      <c r="J893" s="0" t="str">
        <f aca="false">_xlfn.XLOOKUP(C893,Departments!$A$2:$A$6,Departments!$B$2:$B$6,"Unknown")</f>
        <v>Quality</v>
      </c>
    </row>
    <row r="894" customFormat="false" ht="15" hidden="false" customHeight="false" outlineLevel="0" collapsed="false">
      <c r="A894" s="0" t="s">
        <v>921</v>
      </c>
      <c r="B894" s="4" t="n">
        <v>45821</v>
      </c>
      <c r="C894" s="0" t="s">
        <v>27</v>
      </c>
      <c r="D894" s="3" t="s">
        <v>25</v>
      </c>
      <c r="E894" s="2" t="n">
        <v>3141</v>
      </c>
      <c r="F894" s="5" t="n">
        <f aca="false">VLOOKUP(D894,Lookup!$A$2:$B$4,2,FALSE())</f>
        <v>0.15</v>
      </c>
      <c r="G894" s="2" t="n">
        <f aca="false">ROUND(E894*F894,2)</f>
        <v>471.15</v>
      </c>
      <c r="H894" s="2" t="n">
        <f aca="false">E894+G894</f>
        <v>3612.15</v>
      </c>
      <c r="I894" s="3" t="s">
        <v>22</v>
      </c>
      <c r="J894" s="0" t="str">
        <f aca="false">_xlfn.XLOOKUP(C894,Departments!$A$2:$A$6,Departments!$B$2:$B$6,"Unknown")</f>
        <v>Human Resources</v>
      </c>
    </row>
    <row r="895" customFormat="false" ht="15" hidden="false" customHeight="false" outlineLevel="0" collapsed="false">
      <c r="A895" s="0" t="s">
        <v>922</v>
      </c>
      <c r="B895" s="4" t="n">
        <v>45822</v>
      </c>
      <c r="C895" s="0" t="s">
        <v>30</v>
      </c>
      <c r="D895" s="3" t="s">
        <v>28</v>
      </c>
      <c r="E895" s="2" t="n">
        <v>3178</v>
      </c>
      <c r="F895" s="5" t="n">
        <f aca="false">VLOOKUP(D895,Lookup!$A$2:$B$4,2,FALSE())</f>
        <v>0.05</v>
      </c>
      <c r="G895" s="2" t="n">
        <f aca="false">ROUND(E895*F895,2)</f>
        <v>158.9</v>
      </c>
      <c r="H895" s="2" t="n">
        <f aca="false">E895+G895</f>
        <v>3336.9</v>
      </c>
      <c r="I895" s="3" t="s">
        <v>22</v>
      </c>
      <c r="J895" s="0" t="str">
        <f aca="false">_xlfn.XLOOKUP(C895,Departments!$A$2:$A$6,Departments!$B$2:$B$6,"Unknown")</f>
        <v>Technology</v>
      </c>
    </row>
    <row r="896" customFormat="false" ht="15" hidden="false" customHeight="false" outlineLevel="0" collapsed="false">
      <c r="A896" s="0" t="s">
        <v>923</v>
      </c>
      <c r="B896" s="4" t="n">
        <v>45823</v>
      </c>
      <c r="C896" s="0" t="s">
        <v>32</v>
      </c>
      <c r="D896" s="3" t="s">
        <v>21</v>
      </c>
      <c r="E896" s="2" t="n">
        <v>3215</v>
      </c>
      <c r="F896" s="5" t="n">
        <f aca="false">VLOOKUP(D896,Lookup!$A$2:$B$4,2,FALSE())</f>
        <v>0.1</v>
      </c>
      <c r="G896" s="2" t="n">
        <f aca="false">ROUND(E896*F896,2)</f>
        <v>321.5</v>
      </c>
      <c r="H896" s="2" t="n">
        <f aca="false">E896+G896</f>
        <v>3536.5</v>
      </c>
      <c r="I896" s="3" t="s">
        <v>22</v>
      </c>
      <c r="J896" s="0" t="str">
        <f aca="false">_xlfn.XLOOKUP(C896,Departments!$A$2:$A$6,Departments!$B$2:$B$6,"Unknown")</f>
        <v>Operations</v>
      </c>
    </row>
    <row r="897" customFormat="false" ht="15" hidden="false" customHeight="false" outlineLevel="0" collapsed="false">
      <c r="A897" s="0" t="s">
        <v>924</v>
      </c>
      <c r="B897" s="4" t="n">
        <v>45824</v>
      </c>
      <c r="C897" s="0" t="s">
        <v>20</v>
      </c>
      <c r="D897" s="3" t="s">
        <v>25</v>
      </c>
      <c r="E897" s="2" t="n">
        <v>3252</v>
      </c>
      <c r="F897" s="5" t="n">
        <f aca="false">VLOOKUP(D897,Lookup!$A$2:$B$4,2,FALSE())</f>
        <v>0.15</v>
      </c>
      <c r="G897" s="2" t="n">
        <f aca="false">ROUND(E897*F897,2)</f>
        <v>487.8</v>
      </c>
      <c r="H897" s="2" t="n">
        <f aca="false">E897+G897</f>
        <v>3739.8</v>
      </c>
      <c r="I897" s="3" t="s">
        <v>35</v>
      </c>
      <c r="J897" s="0" t="str">
        <f aca="false">_xlfn.XLOOKUP(C897,Departments!$A$2:$A$6,Departments!$B$2:$B$6,"Unknown")</f>
        <v>Finance</v>
      </c>
    </row>
    <row r="898" customFormat="false" ht="15" hidden="false" customHeight="false" outlineLevel="0" collapsed="false">
      <c r="A898" s="0" t="s">
        <v>925</v>
      </c>
      <c r="B898" s="4" t="n">
        <v>45825</v>
      </c>
      <c r="C898" s="0" t="s">
        <v>24</v>
      </c>
      <c r="D898" s="3" t="s">
        <v>28</v>
      </c>
      <c r="E898" s="2" t="n">
        <v>3289</v>
      </c>
      <c r="F898" s="5" t="n">
        <f aca="false">VLOOKUP(D898,Lookup!$A$2:$B$4,2,FALSE())</f>
        <v>0.05</v>
      </c>
      <c r="G898" s="2" t="n">
        <f aca="false">ROUND(E898*F898,2)</f>
        <v>164.45</v>
      </c>
      <c r="H898" s="2" t="n">
        <f aca="false">E898+G898</f>
        <v>3453.45</v>
      </c>
      <c r="I898" s="3" t="s">
        <v>22</v>
      </c>
      <c r="J898" s="0" t="str">
        <f aca="false">_xlfn.XLOOKUP(C898,Departments!$A$2:$A$6,Departments!$B$2:$B$6,"Unknown")</f>
        <v>Quality</v>
      </c>
    </row>
    <row r="899" customFormat="false" ht="15" hidden="false" customHeight="false" outlineLevel="0" collapsed="false">
      <c r="A899" s="0" t="s">
        <v>926</v>
      </c>
      <c r="B899" s="4" t="n">
        <v>45826</v>
      </c>
      <c r="C899" s="0" t="s">
        <v>27</v>
      </c>
      <c r="D899" s="3" t="s">
        <v>21</v>
      </c>
      <c r="E899" s="2" t="n">
        <v>3326</v>
      </c>
      <c r="F899" s="5" t="n">
        <f aca="false">VLOOKUP(D899,Lookup!$A$2:$B$4,2,FALSE())</f>
        <v>0.1</v>
      </c>
      <c r="G899" s="2" t="n">
        <f aca="false">ROUND(E899*F899,2)</f>
        <v>332.6</v>
      </c>
      <c r="H899" s="2" t="n">
        <f aca="false">E899+G899</f>
        <v>3658.6</v>
      </c>
      <c r="I899" s="3" t="s">
        <v>22</v>
      </c>
      <c r="J899" s="0" t="str">
        <f aca="false">_xlfn.XLOOKUP(C899,Departments!$A$2:$A$6,Departments!$B$2:$B$6,"Unknown")</f>
        <v>Human Resources</v>
      </c>
    </row>
    <row r="900" customFormat="false" ht="15" hidden="false" customHeight="false" outlineLevel="0" collapsed="false">
      <c r="A900" s="0" t="s">
        <v>927</v>
      </c>
      <c r="B900" s="4" t="n">
        <v>45827</v>
      </c>
      <c r="C900" s="0" t="s">
        <v>30</v>
      </c>
      <c r="D900" s="3" t="s">
        <v>25</v>
      </c>
      <c r="E900" s="2" t="n">
        <v>3363</v>
      </c>
      <c r="F900" s="5" t="n">
        <f aca="false">VLOOKUP(D900,Lookup!$A$2:$B$4,2,FALSE())</f>
        <v>0.15</v>
      </c>
      <c r="G900" s="2" t="n">
        <f aca="false">ROUND(E900*F900,2)</f>
        <v>504.45</v>
      </c>
      <c r="H900" s="2" t="n">
        <f aca="false">E900+G900</f>
        <v>3867.45</v>
      </c>
      <c r="I900" s="3" t="s">
        <v>22</v>
      </c>
      <c r="J900" s="0" t="str">
        <f aca="false">_xlfn.XLOOKUP(C900,Departments!$A$2:$A$6,Departments!$B$2:$B$6,"Unknown")</f>
        <v>Technology</v>
      </c>
    </row>
    <row r="901" customFormat="false" ht="15" hidden="false" customHeight="false" outlineLevel="0" collapsed="false">
      <c r="A901" s="0" t="s">
        <v>928</v>
      </c>
      <c r="B901" s="4" t="n">
        <v>45828</v>
      </c>
      <c r="C901" s="0" t="s">
        <v>32</v>
      </c>
      <c r="D901" s="3" t="s">
        <v>28</v>
      </c>
      <c r="E901" s="2" t="n">
        <v>3400</v>
      </c>
      <c r="F901" s="5" t="n">
        <f aca="false">VLOOKUP(D901,Lookup!$A$2:$B$4,2,FALSE())</f>
        <v>0.05</v>
      </c>
      <c r="G901" s="2" t="n">
        <f aca="false">ROUND(E901*F901,2)</f>
        <v>170</v>
      </c>
      <c r="H901" s="2" t="n">
        <f aca="false">E901+G901</f>
        <v>3570</v>
      </c>
      <c r="I901" s="3" t="s">
        <v>22</v>
      </c>
      <c r="J901" s="0" t="str">
        <f aca="false">_xlfn.XLOOKUP(C901,Departments!$A$2:$A$6,Departments!$B$2:$B$6,"Unknown")</f>
        <v>Operations</v>
      </c>
    </row>
    <row r="902" customFormat="false" ht="15" hidden="false" customHeight="false" outlineLevel="0" collapsed="false">
      <c r="A902" s="0" t="s">
        <v>929</v>
      </c>
      <c r="B902" s="4" t="n">
        <v>45829</v>
      </c>
      <c r="C902" s="0" t="s">
        <v>20</v>
      </c>
      <c r="D902" s="3" t="s">
        <v>21</v>
      </c>
      <c r="E902" s="2" t="n">
        <v>3437</v>
      </c>
      <c r="F902" s="5" t="n">
        <f aca="false">VLOOKUP(D902,Lookup!$A$2:$B$4,2,FALSE())</f>
        <v>0.1</v>
      </c>
      <c r="G902" s="2" t="n">
        <f aca="false">ROUND(E902*F902,2)</f>
        <v>343.7</v>
      </c>
      <c r="H902" s="2" t="n">
        <f aca="false">E902+G902</f>
        <v>3780.7</v>
      </c>
      <c r="I902" s="3" t="s">
        <v>22</v>
      </c>
      <c r="J902" s="0" t="str">
        <f aca="false">_xlfn.XLOOKUP(C902,Departments!$A$2:$A$6,Departments!$B$2:$B$6,"Unknown")</f>
        <v>Finance</v>
      </c>
    </row>
    <row r="903" customFormat="false" ht="15" hidden="false" customHeight="false" outlineLevel="0" collapsed="false">
      <c r="A903" s="0" t="s">
        <v>930</v>
      </c>
      <c r="B903" s="4" t="n">
        <v>45830</v>
      </c>
      <c r="C903" s="0" t="s">
        <v>24</v>
      </c>
      <c r="D903" s="3" t="s">
        <v>25</v>
      </c>
      <c r="E903" s="2" t="n">
        <v>3474</v>
      </c>
      <c r="F903" s="5" t="n">
        <f aca="false">VLOOKUP(D903,Lookup!$A$2:$B$4,2,FALSE())</f>
        <v>0.15</v>
      </c>
      <c r="G903" s="2" t="n">
        <f aca="false">ROUND(E903*F903,2)</f>
        <v>521.1</v>
      </c>
      <c r="H903" s="2" t="n">
        <f aca="false">E903+G903</f>
        <v>3995.1</v>
      </c>
      <c r="I903" s="3" t="s">
        <v>22</v>
      </c>
      <c r="J903" s="0" t="str">
        <f aca="false">_xlfn.XLOOKUP(C903,Departments!$A$2:$A$6,Departments!$B$2:$B$6,"Unknown")</f>
        <v>Quality</v>
      </c>
    </row>
    <row r="904" customFormat="false" ht="15" hidden="false" customHeight="false" outlineLevel="0" collapsed="false">
      <c r="A904" s="0" t="s">
        <v>931</v>
      </c>
      <c r="B904" s="4" t="n">
        <v>45831</v>
      </c>
      <c r="C904" s="0" t="s">
        <v>27</v>
      </c>
      <c r="D904" s="3" t="s">
        <v>28</v>
      </c>
      <c r="E904" s="2" t="n">
        <v>3511</v>
      </c>
      <c r="F904" s="5" t="n">
        <f aca="false">VLOOKUP(D904,Lookup!$A$2:$B$4,2,FALSE())</f>
        <v>0.05</v>
      </c>
      <c r="G904" s="2" t="n">
        <f aca="false">ROUND(E904*F904,2)</f>
        <v>175.55</v>
      </c>
      <c r="H904" s="2" t="n">
        <f aca="false">E904+G904</f>
        <v>3686.55</v>
      </c>
      <c r="I904" s="3" t="s">
        <v>35</v>
      </c>
      <c r="J904" s="0" t="str">
        <f aca="false">_xlfn.XLOOKUP(C904,Departments!$A$2:$A$6,Departments!$B$2:$B$6,"Unknown")</f>
        <v>Human Resources</v>
      </c>
    </row>
    <row r="905" customFormat="false" ht="15" hidden="false" customHeight="false" outlineLevel="0" collapsed="false">
      <c r="A905" s="0" t="s">
        <v>932</v>
      </c>
      <c r="B905" s="4" t="n">
        <v>45832</v>
      </c>
      <c r="C905" s="0" t="s">
        <v>30</v>
      </c>
      <c r="D905" s="3" t="s">
        <v>21</v>
      </c>
      <c r="E905" s="2" t="n">
        <v>3548</v>
      </c>
      <c r="F905" s="5" t="n">
        <f aca="false">VLOOKUP(D905,Lookup!$A$2:$B$4,2,FALSE())</f>
        <v>0.1</v>
      </c>
      <c r="G905" s="2" t="n">
        <f aca="false">ROUND(E905*F905,2)</f>
        <v>354.8</v>
      </c>
      <c r="H905" s="2" t="n">
        <f aca="false">E905+G905</f>
        <v>3902.8</v>
      </c>
      <c r="I905" s="3" t="s">
        <v>22</v>
      </c>
      <c r="J905" s="0" t="str">
        <f aca="false">_xlfn.XLOOKUP(C905,Departments!$A$2:$A$6,Departments!$B$2:$B$6,"Unknown")</f>
        <v>Technology</v>
      </c>
    </row>
    <row r="906" customFormat="false" ht="15" hidden="false" customHeight="false" outlineLevel="0" collapsed="false">
      <c r="A906" s="0" t="s">
        <v>933</v>
      </c>
      <c r="B906" s="4" t="n">
        <v>45833</v>
      </c>
      <c r="C906" s="0" t="s">
        <v>32</v>
      </c>
      <c r="D906" s="3" t="s">
        <v>25</v>
      </c>
      <c r="E906" s="2" t="n">
        <v>3585</v>
      </c>
      <c r="F906" s="5" t="n">
        <f aca="false">VLOOKUP(D906,Lookup!$A$2:$B$4,2,FALSE())</f>
        <v>0.15</v>
      </c>
      <c r="G906" s="2" t="n">
        <f aca="false">ROUND(E906*F906,2)</f>
        <v>537.75</v>
      </c>
      <c r="H906" s="2" t="n">
        <f aca="false">E906+G906</f>
        <v>4122.75</v>
      </c>
      <c r="I906" s="3" t="s">
        <v>22</v>
      </c>
      <c r="J906" s="0" t="str">
        <f aca="false">_xlfn.XLOOKUP(C906,Departments!$A$2:$A$6,Departments!$B$2:$B$6,"Unknown")</f>
        <v>Operations</v>
      </c>
    </row>
    <row r="907" customFormat="false" ht="15" hidden="false" customHeight="false" outlineLevel="0" collapsed="false">
      <c r="A907" s="0" t="s">
        <v>934</v>
      </c>
      <c r="B907" s="4" t="n">
        <v>45834</v>
      </c>
      <c r="C907" s="0" t="s">
        <v>20</v>
      </c>
      <c r="D907" s="3" t="s">
        <v>28</v>
      </c>
      <c r="E907" s="2" t="n">
        <v>3622</v>
      </c>
      <c r="F907" s="5" t="n">
        <f aca="false">VLOOKUP(D907,Lookup!$A$2:$B$4,2,FALSE())</f>
        <v>0.05</v>
      </c>
      <c r="G907" s="2" t="n">
        <f aca="false">ROUND(E907*F907,2)</f>
        <v>181.1</v>
      </c>
      <c r="H907" s="2" t="n">
        <f aca="false">E907+G907</f>
        <v>3803.1</v>
      </c>
      <c r="I907" s="3" t="s">
        <v>22</v>
      </c>
      <c r="J907" s="0" t="str">
        <f aca="false">_xlfn.XLOOKUP(C907,Departments!$A$2:$A$6,Departments!$B$2:$B$6,"Unknown")</f>
        <v>Finance</v>
      </c>
    </row>
    <row r="908" customFormat="false" ht="15" hidden="false" customHeight="false" outlineLevel="0" collapsed="false">
      <c r="A908" s="0" t="s">
        <v>935</v>
      </c>
      <c r="B908" s="4" t="n">
        <v>45835</v>
      </c>
      <c r="C908" s="0" t="s">
        <v>24</v>
      </c>
      <c r="D908" s="3" t="s">
        <v>21</v>
      </c>
      <c r="E908" s="2" t="n">
        <v>3659</v>
      </c>
      <c r="F908" s="5" t="n">
        <f aca="false">VLOOKUP(D908,Lookup!$A$2:$B$4,2,FALSE())</f>
        <v>0.1</v>
      </c>
      <c r="G908" s="2" t="n">
        <f aca="false">ROUND(E908*F908,2)</f>
        <v>365.9</v>
      </c>
      <c r="H908" s="2" t="n">
        <f aca="false">E908+G908</f>
        <v>4024.9</v>
      </c>
      <c r="I908" s="3" t="s">
        <v>22</v>
      </c>
      <c r="J908" s="0" t="str">
        <f aca="false">_xlfn.XLOOKUP(C908,Departments!$A$2:$A$6,Departments!$B$2:$B$6,"Unknown")</f>
        <v>Quality</v>
      </c>
    </row>
    <row r="909" customFormat="false" ht="15" hidden="false" customHeight="false" outlineLevel="0" collapsed="false">
      <c r="A909" s="0" t="s">
        <v>936</v>
      </c>
      <c r="B909" s="4" t="n">
        <v>45836</v>
      </c>
      <c r="C909" s="0" t="s">
        <v>27</v>
      </c>
      <c r="D909" s="3" t="s">
        <v>25</v>
      </c>
      <c r="E909" s="2" t="n">
        <v>3696</v>
      </c>
      <c r="F909" s="5" t="n">
        <f aca="false">VLOOKUP(D909,Lookup!$A$2:$B$4,2,FALSE())</f>
        <v>0.15</v>
      </c>
      <c r="G909" s="2" t="n">
        <f aca="false">ROUND(E909*F909,2)</f>
        <v>554.4</v>
      </c>
      <c r="H909" s="2" t="n">
        <f aca="false">E909+G909</f>
        <v>4250.4</v>
      </c>
      <c r="I909" s="3" t="s">
        <v>22</v>
      </c>
      <c r="J909" s="0" t="str">
        <f aca="false">_xlfn.XLOOKUP(C909,Departments!$A$2:$A$6,Departments!$B$2:$B$6,"Unknown")</f>
        <v>Human Resources</v>
      </c>
    </row>
    <row r="910" customFormat="false" ht="15" hidden="false" customHeight="false" outlineLevel="0" collapsed="false">
      <c r="A910" s="0" t="s">
        <v>937</v>
      </c>
      <c r="B910" s="4" t="n">
        <v>45837</v>
      </c>
      <c r="C910" s="0" t="s">
        <v>30</v>
      </c>
      <c r="D910" s="3" t="s">
        <v>28</v>
      </c>
      <c r="E910" s="2" t="n">
        <v>3733</v>
      </c>
      <c r="F910" s="5" t="n">
        <f aca="false">VLOOKUP(D910,Lookup!$A$2:$B$4,2,FALSE())</f>
        <v>0.05</v>
      </c>
      <c r="G910" s="2" t="n">
        <f aca="false">ROUND(E910*F910,2)</f>
        <v>186.65</v>
      </c>
      <c r="H910" s="2" t="n">
        <f aca="false">E910+G910</f>
        <v>3919.65</v>
      </c>
      <c r="I910" s="3" t="s">
        <v>22</v>
      </c>
      <c r="J910" s="0" t="str">
        <f aca="false">_xlfn.XLOOKUP(C910,Departments!$A$2:$A$6,Departments!$B$2:$B$6,"Unknown")</f>
        <v>Technology</v>
      </c>
    </row>
    <row r="911" customFormat="false" ht="15" hidden="false" customHeight="false" outlineLevel="0" collapsed="false">
      <c r="A911" s="0" t="s">
        <v>938</v>
      </c>
      <c r="B911" s="4" t="n">
        <v>45838</v>
      </c>
      <c r="C911" s="0" t="s">
        <v>32</v>
      </c>
      <c r="D911" s="3" t="s">
        <v>21</v>
      </c>
      <c r="E911" s="2" t="n">
        <v>3770</v>
      </c>
      <c r="F911" s="5" t="n">
        <f aca="false">VLOOKUP(D911,Lookup!$A$2:$B$4,2,FALSE())</f>
        <v>0.1</v>
      </c>
      <c r="G911" s="2" t="n">
        <f aca="false">ROUND(E911*F911,2)</f>
        <v>377</v>
      </c>
      <c r="H911" s="2" t="n">
        <f aca="false">E911+G911</f>
        <v>4147</v>
      </c>
      <c r="I911" s="3" t="s">
        <v>35</v>
      </c>
      <c r="J911" s="0" t="str">
        <f aca="false">_xlfn.XLOOKUP(C911,Departments!$A$2:$A$6,Departments!$B$2:$B$6,"Unknown")</f>
        <v>Operations</v>
      </c>
    </row>
    <row r="912" customFormat="false" ht="15" hidden="false" customHeight="false" outlineLevel="0" collapsed="false">
      <c r="A912" s="0" t="s">
        <v>939</v>
      </c>
      <c r="B912" s="4" t="n">
        <v>45839</v>
      </c>
      <c r="C912" s="0" t="s">
        <v>20</v>
      </c>
      <c r="D912" s="3" t="s">
        <v>25</v>
      </c>
      <c r="E912" s="2" t="n">
        <v>3807</v>
      </c>
      <c r="F912" s="5" t="n">
        <f aca="false">VLOOKUP(D912,Lookup!$A$2:$B$4,2,FALSE())</f>
        <v>0.15</v>
      </c>
      <c r="G912" s="2" t="n">
        <f aca="false">ROUND(E912*F912,2)</f>
        <v>571.05</v>
      </c>
      <c r="H912" s="2" t="n">
        <f aca="false">E912+G912</f>
        <v>4378.05</v>
      </c>
      <c r="I912" s="3" t="s">
        <v>22</v>
      </c>
      <c r="J912" s="0" t="str">
        <f aca="false">_xlfn.XLOOKUP(C912,Departments!$A$2:$A$6,Departments!$B$2:$B$6,"Unknown")</f>
        <v>Finance</v>
      </c>
    </row>
    <row r="913" customFormat="false" ht="15" hidden="false" customHeight="false" outlineLevel="0" collapsed="false">
      <c r="A913" s="0" t="s">
        <v>940</v>
      </c>
      <c r="B913" s="4" t="n">
        <v>45840</v>
      </c>
      <c r="C913" s="0" t="s">
        <v>24</v>
      </c>
      <c r="D913" s="3" t="s">
        <v>28</v>
      </c>
      <c r="E913" s="2" t="n">
        <v>3844</v>
      </c>
      <c r="F913" s="5" t="n">
        <f aca="false">VLOOKUP(D913,Lookup!$A$2:$B$4,2,FALSE())</f>
        <v>0.05</v>
      </c>
      <c r="G913" s="2" t="n">
        <f aca="false">ROUND(E913*F913,2)</f>
        <v>192.2</v>
      </c>
      <c r="H913" s="2" t="n">
        <f aca="false">E913+G913</f>
        <v>4036.2</v>
      </c>
      <c r="I913" s="3" t="s">
        <v>22</v>
      </c>
      <c r="J913" s="0" t="str">
        <f aca="false">_xlfn.XLOOKUP(C913,Departments!$A$2:$A$6,Departments!$B$2:$B$6,"Unknown")</f>
        <v>Quality</v>
      </c>
    </row>
    <row r="914" customFormat="false" ht="15" hidden="false" customHeight="false" outlineLevel="0" collapsed="false">
      <c r="A914" s="0" t="s">
        <v>941</v>
      </c>
      <c r="B914" s="4" t="n">
        <v>45841</v>
      </c>
      <c r="C914" s="0" t="s">
        <v>27</v>
      </c>
      <c r="D914" s="3" t="s">
        <v>21</v>
      </c>
      <c r="E914" s="2" t="n">
        <v>3881</v>
      </c>
      <c r="F914" s="5" t="n">
        <f aca="false">VLOOKUP(D914,Lookup!$A$2:$B$4,2,FALSE())</f>
        <v>0.1</v>
      </c>
      <c r="G914" s="2" t="n">
        <f aca="false">ROUND(E914*F914,2)</f>
        <v>388.1</v>
      </c>
      <c r="H914" s="2" t="n">
        <f aca="false">E914+G914</f>
        <v>4269.1</v>
      </c>
      <c r="I914" s="3" t="s">
        <v>22</v>
      </c>
      <c r="J914" s="0" t="str">
        <f aca="false">_xlfn.XLOOKUP(C914,Departments!$A$2:$A$6,Departments!$B$2:$B$6,"Unknown")</f>
        <v>Human Resources</v>
      </c>
    </row>
    <row r="915" customFormat="false" ht="15" hidden="false" customHeight="false" outlineLevel="0" collapsed="false">
      <c r="A915" s="0" t="s">
        <v>942</v>
      </c>
      <c r="B915" s="4" t="n">
        <v>45842</v>
      </c>
      <c r="C915" s="0" t="s">
        <v>30</v>
      </c>
      <c r="D915" s="3" t="s">
        <v>25</v>
      </c>
      <c r="E915" s="2" t="n">
        <v>3918</v>
      </c>
      <c r="F915" s="5" t="n">
        <f aca="false">VLOOKUP(D915,Lookup!$A$2:$B$4,2,FALSE())</f>
        <v>0.15</v>
      </c>
      <c r="G915" s="2" t="n">
        <f aca="false">ROUND(E915*F915,2)</f>
        <v>587.7</v>
      </c>
      <c r="H915" s="2" t="n">
        <f aca="false">E915+G915</f>
        <v>4505.7</v>
      </c>
      <c r="I915" s="3" t="s">
        <v>22</v>
      </c>
      <c r="J915" s="0" t="str">
        <f aca="false">_xlfn.XLOOKUP(C915,Departments!$A$2:$A$6,Departments!$B$2:$B$6,"Unknown")</f>
        <v>Technology</v>
      </c>
    </row>
    <row r="916" customFormat="false" ht="15" hidden="false" customHeight="false" outlineLevel="0" collapsed="false">
      <c r="A916" s="0" t="s">
        <v>943</v>
      </c>
      <c r="B916" s="4" t="n">
        <v>45843</v>
      </c>
      <c r="C916" s="0" t="s">
        <v>32</v>
      </c>
      <c r="D916" s="3" t="s">
        <v>28</v>
      </c>
      <c r="E916" s="2" t="n">
        <v>3955</v>
      </c>
      <c r="F916" s="5" t="n">
        <f aca="false">VLOOKUP(D916,Lookup!$A$2:$B$4,2,FALSE())</f>
        <v>0.05</v>
      </c>
      <c r="G916" s="2" t="n">
        <f aca="false">ROUND(E916*F916,2)</f>
        <v>197.75</v>
      </c>
      <c r="H916" s="2" t="n">
        <f aca="false">E916+G916</f>
        <v>4152.75</v>
      </c>
      <c r="I916" s="3" t="s">
        <v>22</v>
      </c>
      <c r="J916" s="0" t="str">
        <f aca="false">_xlfn.XLOOKUP(C916,Departments!$A$2:$A$6,Departments!$B$2:$B$6,"Unknown")</f>
        <v>Operations</v>
      </c>
    </row>
    <row r="917" customFormat="false" ht="15" hidden="false" customHeight="false" outlineLevel="0" collapsed="false">
      <c r="A917" s="0" t="s">
        <v>944</v>
      </c>
      <c r="B917" s="4" t="n">
        <v>45844</v>
      </c>
      <c r="C917" s="0" t="s">
        <v>20</v>
      </c>
      <c r="D917" s="3" t="s">
        <v>21</v>
      </c>
      <c r="E917" s="2" t="n">
        <v>3992</v>
      </c>
      <c r="F917" s="5" t="n">
        <f aca="false">VLOOKUP(D917,Lookup!$A$2:$B$4,2,FALSE())</f>
        <v>0.1</v>
      </c>
      <c r="G917" s="2" t="n">
        <f aca="false">ROUND(E917*F917,2)</f>
        <v>399.2</v>
      </c>
      <c r="H917" s="2" t="n">
        <f aca="false">E917+G917</f>
        <v>4391.2</v>
      </c>
      <c r="I917" s="3" t="s">
        <v>22</v>
      </c>
      <c r="J917" s="0" t="str">
        <f aca="false">_xlfn.XLOOKUP(C917,Departments!$A$2:$A$6,Departments!$B$2:$B$6,"Unknown")</f>
        <v>Finance</v>
      </c>
    </row>
    <row r="918" customFormat="false" ht="15" hidden="false" customHeight="false" outlineLevel="0" collapsed="false">
      <c r="A918" s="0" t="s">
        <v>945</v>
      </c>
      <c r="B918" s="4" t="n">
        <v>45845</v>
      </c>
      <c r="C918" s="0" t="s">
        <v>24</v>
      </c>
      <c r="D918" s="3" t="s">
        <v>25</v>
      </c>
      <c r="E918" s="2" t="n">
        <v>4029</v>
      </c>
      <c r="F918" s="5" t="n">
        <f aca="false">VLOOKUP(D918,Lookup!$A$2:$B$4,2,FALSE())</f>
        <v>0.15</v>
      </c>
      <c r="G918" s="2" t="n">
        <f aca="false">ROUND(E918*F918,2)</f>
        <v>604.35</v>
      </c>
      <c r="H918" s="2" t="n">
        <f aca="false">E918+G918</f>
        <v>4633.35</v>
      </c>
      <c r="I918" s="3" t="s">
        <v>35</v>
      </c>
      <c r="J918" s="0" t="str">
        <f aca="false">_xlfn.XLOOKUP(C918,Departments!$A$2:$A$6,Departments!$B$2:$B$6,"Unknown")</f>
        <v>Quality</v>
      </c>
    </row>
    <row r="919" customFormat="false" ht="15" hidden="false" customHeight="false" outlineLevel="0" collapsed="false">
      <c r="A919" s="0" t="s">
        <v>946</v>
      </c>
      <c r="B919" s="4" t="n">
        <v>45846</v>
      </c>
      <c r="C919" s="0" t="s">
        <v>27</v>
      </c>
      <c r="D919" s="3" t="s">
        <v>28</v>
      </c>
      <c r="E919" s="2" t="n">
        <v>4066</v>
      </c>
      <c r="F919" s="5" t="n">
        <f aca="false">VLOOKUP(D919,Lookup!$A$2:$B$4,2,FALSE())</f>
        <v>0.05</v>
      </c>
      <c r="G919" s="2" t="n">
        <f aca="false">ROUND(E919*F919,2)</f>
        <v>203.3</v>
      </c>
      <c r="H919" s="2" t="n">
        <f aca="false">E919+G919</f>
        <v>4269.3</v>
      </c>
      <c r="I919" s="3" t="s">
        <v>22</v>
      </c>
      <c r="J919" s="0" t="str">
        <f aca="false">_xlfn.XLOOKUP(C919,Departments!$A$2:$A$6,Departments!$B$2:$B$6,"Unknown")</f>
        <v>Human Resources</v>
      </c>
    </row>
    <row r="920" customFormat="false" ht="15" hidden="false" customHeight="false" outlineLevel="0" collapsed="false">
      <c r="A920" s="0" t="s">
        <v>947</v>
      </c>
      <c r="B920" s="4" t="n">
        <v>45847</v>
      </c>
      <c r="C920" s="0" t="s">
        <v>30</v>
      </c>
      <c r="D920" s="3" t="s">
        <v>21</v>
      </c>
      <c r="E920" s="2" t="n">
        <v>4103</v>
      </c>
      <c r="F920" s="5" t="n">
        <f aca="false">VLOOKUP(D920,Lookup!$A$2:$B$4,2,FALSE())</f>
        <v>0.1</v>
      </c>
      <c r="G920" s="2" t="n">
        <f aca="false">ROUND(E920*F920,2)</f>
        <v>410.3</v>
      </c>
      <c r="H920" s="2" t="n">
        <f aca="false">E920+G920</f>
        <v>4513.3</v>
      </c>
      <c r="I920" s="3" t="s">
        <v>22</v>
      </c>
      <c r="J920" s="0" t="str">
        <f aca="false">_xlfn.XLOOKUP(C920,Departments!$A$2:$A$6,Departments!$B$2:$B$6,"Unknown")</f>
        <v>Technology</v>
      </c>
    </row>
    <row r="921" customFormat="false" ht="15" hidden="false" customHeight="false" outlineLevel="0" collapsed="false">
      <c r="A921" s="0" t="s">
        <v>948</v>
      </c>
      <c r="B921" s="4" t="n">
        <v>45848</v>
      </c>
      <c r="C921" s="0" t="s">
        <v>32</v>
      </c>
      <c r="D921" s="3" t="s">
        <v>25</v>
      </c>
      <c r="E921" s="2" t="n">
        <v>4140</v>
      </c>
      <c r="F921" s="5" t="n">
        <f aca="false">VLOOKUP(D921,Lookup!$A$2:$B$4,2,FALSE())</f>
        <v>0.15</v>
      </c>
      <c r="G921" s="2" t="n">
        <f aca="false">ROUND(E921*F921,2)</f>
        <v>621</v>
      </c>
      <c r="H921" s="2" t="n">
        <f aca="false">E921+G921</f>
        <v>4761</v>
      </c>
      <c r="I921" s="3" t="s">
        <v>22</v>
      </c>
      <c r="J921" s="0" t="str">
        <f aca="false">_xlfn.XLOOKUP(C921,Departments!$A$2:$A$6,Departments!$B$2:$B$6,"Unknown")</f>
        <v>Operations</v>
      </c>
    </row>
    <row r="922" customFormat="false" ht="15" hidden="false" customHeight="false" outlineLevel="0" collapsed="false">
      <c r="A922" s="0" t="s">
        <v>949</v>
      </c>
      <c r="B922" s="4" t="n">
        <v>45849</v>
      </c>
      <c r="C922" s="0" t="s">
        <v>20</v>
      </c>
      <c r="D922" s="3" t="s">
        <v>28</v>
      </c>
      <c r="E922" s="2" t="n">
        <v>4177</v>
      </c>
      <c r="F922" s="5" t="n">
        <f aca="false">VLOOKUP(D922,Lookup!$A$2:$B$4,2,FALSE())</f>
        <v>0.05</v>
      </c>
      <c r="G922" s="2" t="n">
        <f aca="false">ROUND(E922*F922,2)</f>
        <v>208.85</v>
      </c>
      <c r="H922" s="2" t="n">
        <f aca="false">E922+G922</f>
        <v>4385.85</v>
      </c>
      <c r="I922" s="3" t="s">
        <v>22</v>
      </c>
      <c r="J922" s="0" t="str">
        <f aca="false">_xlfn.XLOOKUP(C922,Departments!$A$2:$A$6,Departments!$B$2:$B$6,"Unknown")</f>
        <v>Finance</v>
      </c>
    </row>
    <row r="923" customFormat="false" ht="15" hidden="false" customHeight="false" outlineLevel="0" collapsed="false">
      <c r="A923" s="0" t="s">
        <v>950</v>
      </c>
      <c r="B923" s="4" t="n">
        <v>45850</v>
      </c>
      <c r="C923" s="0" t="s">
        <v>24</v>
      </c>
      <c r="D923" s="3" t="s">
        <v>21</v>
      </c>
      <c r="E923" s="2" t="n">
        <v>4214</v>
      </c>
      <c r="F923" s="5" t="n">
        <f aca="false">VLOOKUP(D923,Lookup!$A$2:$B$4,2,FALSE())</f>
        <v>0.1</v>
      </c>
      <c r="G923" s="2" t="n">
        <f aca="false">ROUND(E923*F923,2)</f>
        <v>421.4</v>
      </c>
      <c r="H923" s="2" t="n">
        <f aca="false">E923+G923</f>
        <v>4635.4</v>
      </c>
      <c r="I923" s="3" t="s">
        <v>22</v>
      </c>
      <c r="J923" s="0" t="str">
        <f aca="false">_xlfn.XLOOKUP(C923,Departments!$A$2:$A$6,Departments!$B$2:$B$6,"Unknown")</f>
        <v>Quality</v>
      </c>
    </row>
    <row r="924" customFormat="false" ht="15" hidden="false" customHeight="false" outlineLevel="0" collapsed="false">
      <c r="A924" s="0" t="s">
        <v>951</v>
      </c>
      <c r="B924" s="4" t="n">
        <v>45851</v>
      </c>
      <c r="C924" s="0" t="s">
        <v>27</v>
      </c>
      <c r="D924" s="3" t="s">
        <v>25</v>
      </c>
      <c r="E924" s="2" t="n">
        <v>4251</v>
      </c>
      <c r="F924" s="5" t="n">
        <f aca="false">VLOOKUP(D924,Lookup!$A$2:$B$4,2,FALSE())</f>
        <v>0.15</v>
      </c>
      <c r="G924" s="2" t="n">
        <f aca="false">ROUND(E924*F924,2)</f>
        <v>637.65</v>
      </c>
      <c r="H924" s="2" t="n">
        <f aca="false">E924+G924</f>
        <v>4888.65</v>
      </c>
      <c r="I924" s="3" t="s">
        <v>22</v>
      </c>
      <c r="J924" s="0" t="str">
        <f aca="false">_xlfn.XLOOKUP(C924,Departments!$A$2:$A$6,Departments!$B$2:$B$6,"Unknown")</f>
        <v>Human Resources</v>
      </c>
    </row>
    <row r="925" customFormat="false" ht="15" hidden="false" customHeight="false" outlineLevel="0" collapsed="false">
      <c r="A925" s="0" t="s">
        <v>952</v>
      </c>
      <c r="B925" s="4" t="n">
        <v>45852</v>
      </c>
      <c r="C925" s="0" t="s">
        <v>30</v>
      </c>
      <c r="D925" s="3" t="s">
        <v>28</v>
      </c>
      <c r="E925" s="2" t="n">
        <v>4288</v>
      </c>
      <c r="F925" s="5" t="n">
        <f aca="false">VLOOKUP(D925,Lookup!$A$2:$B$4,2,FALSE())</f>
        <v>0.05</v>
      </c>
      <c r="G925" s="2" t="n">
        <f aca="false">ROUND(E925*F925,2)</f>
        <v>214.4</v>
      </c>
      <c r="H925" s="2" t="n">
        <f aca="false">E925+G925</f>
        <v>4502.4</v>
      </c>
      <c r="I925" s="3" t="s">
        <v>35</v>
      </c>
      <c r="J925" s="0" t="str">
        <f aca="false">_xlfn.XLOOKUP(C925,Departments!$A$2:$A$6,Departments!$B$2:$B$6,"Unknown")</f>
        <v>Technology</v>
      </c>
    </row>
    <row r="926" customFormat="false" ht="15" hidden="false" customHeight="false" outlineLevel="0" collapsed="false">
      <c r="A926" s="0" t="s">
        <v>953</v>
      </c>
      <c r="B926" s="4" t="n">
        <v>45853</v>
      </c>
      <c r="C926" s="0" t="s">
        <v>32</v>
      </c>
      <c r="D926" s="3" t="s">
        <v>21</v>
      </c>
      <c r="E926" s="2" t="n">
        <v>4325</v>
      </c>
      <c r="F926" s="5" t="n">
        <f aca="false">VLOOKUP(D926,Lookup!$A$2:$B$4,2,FALSE())</f>
        <v>0.1</v>
      </c>
      <c r="G926" s="2" t="n">
        <f aca="false">ROUND(E926*F926,2)</f>
        <v>432.5</v>
      </c>
      <c r="H926" s="2" t="n">
        <f aca="false">E926+G926</f>
        <v>4757.5</v>
      </c>
      <c r="I926" s="3" t="s">
        <v>22</v>
      </c>
      <c r="J926" s="0" t="str">
        <f aca="false">_xlfn.XLOOKUP(C926,Departments!$A$2:$A$6,Departments!$B$2:$B$6,"Unknown")</f>
        <v>Operations</v>
      </c>
    </row>
    <row r="927" customFormat="false" ht="15" hidden="false" customHeight="false" outlineLevel="0" collapsed="false">
      <c r="A927" s="0" t="s">
        <v>954</v>
      </c>
      <c r="B927" s="4" t="n">
        <v>45854</v>
      </c>
      <c r="C927" s="0" t="s">
        <v>20</v>
      </c>
      <c r="D927" s="3" t="s">
        <v>25</v>
      </c>
      <c r="E927" s="2" t="n">
        <v>4362</v>
      </c>
      <c r="F927" s="5" t="n">
        <f aca="false">VLOOKUP(D927,Lookup!$A$2:$B$4,2,FALSE())</f>
        <v>0.15</v>
      </c>
      <c r="G927" s="2" t="n">
        <f aca="false">ROUND(E927*F927,2)</f>
        <v>654.3</v>
      </c>
      <c r="H927" s="2" t="n">
        <f aca="false">E927+G927</f>
        <v>5016.3</v>
      </c>
      <c r="I927" s="3" t="s">
        <v>22</v>
      </c>
      <c r="J927" s="0" t="str">
        <f aca="false">_xlfn.XLOOKUP(C927,Departments!$A$2:$A$6,Departments!$B$2:$B$6,"Unknown")</f>
        <v>Finance</v>
      </c>
    </row>
    <row r="928" customFormat="false" ht="15" hidden="false" customHeight="false" outlineLevel="0" collapsed="false">
      <c r="A928" s="0" t="s">
        <v>955</v>
      </c>
      <c r="B928" s="4" t="n">
        <v>45855</v>
      </c>
      <c r="C928" s="0" t="s">
        <v>24</v>
      </c>
      <c r="D928" s="3" t="s">
        <v>28</v>
      </c>
      <c r="E928" s="2" t="n">
        <v>4399</v>
      </c>
      <c r="F928" s="5" t="n">
        <f aca="false">VLOOKUP(D928,Lookup!$A$2:$B$4,2,FALSE())</f>
        <v>0.05</v>
      </c>
      <c r="G928" s="2" t="n">
        <f aca="false">ROUND(E928*F928,2)</f>
        <v>219.95</v>
      </c>
      <c r="H928" s="2" t="n">
        <f aca="false">E928+G928</f>
        <v>4618.95</v>
      </c>
      <c r="I928" s="3" t="s">
        <v>22</v>
      </c>
      <c r="J928" s="0" t="str">
        <f aca="false">_xlfn.XLOOKUP(C928,Departments!$A$2:$A$6,Departments!$B$2:$B$6,"Unknown")</f>
        <v>Quality</v>
      </c>
    </row>
    <row r="929" customFormat="false" ht="15" hidden="false" customHeight="false" outlineLevel="0" collapsed="false">
      <c r="A929" s="0" t="s">
        <v>956</v>
      </c>
      <c r="B929" s="4" t="n">
        <v>45856</v>
      </c>
      <c r="C929" s="0" t="s">
        <v>27</v>
      </c>
      <c r="D929" s="3" t="s">
        <v>21</v>
      </c>
      <c r="E929" s="2" t="n">
        <v>4436</v>
      </c>
      <c r="F929" s="5" t="n">
        <f aca="false">VLOOKUP(D929,Lookup!$A$2:$B$4,2,FALSE())</f>
        <v>0.1</v>
      </c>
      <c r="G929" s="2" t="n">
        <f aca="false">ROUND(E929*F929,2)</f>
        <v>443.6</v>
      </c>
      <c r="H929" s="2" t="n">
        <f aca="false">E929+G929</f>
        <v>4879.6</v>
      </c>
      <c r="I929" s="3" t="s">
        <v>22</v>
      </c>
      <c r="J929" s="0" t="str">
        <f aca="false">_xlfn.XLOOKUP(C929,Departments!$A$2:$A$6,Departments!$B$2:$B$6,"Unknown")</f>
        <v>Human Resources</v>
      </c>
    </row>
    <row r="930" customFormat="false" ht="15" hidden="false" customHeight="false" outlineLevel="0" collapsed="false">
      <c r="A930" s="0" t="s">
        <v>957</v>
      </c>
      <c r="B930" s="4" t="n">
        <v>45857</v>
      </c>
      <c r="C930" s="0" t="s">
        <v>30</v>
      </c>
      <c r="D930" s="3" t="s">
        <v>25</v>
      </c>
      <c r="E930" s="2" t="n">
        <v>4473</v>
      </c>
      <c r="F930" s="5" t="n">
        <f aca="false">VLOOKUP(D930,Lookup!$A$2:$B$4,2,FALSE())</f>
        <v>0.15</v>
      </c>
      <c r="G930" s="2" t="n">
        <f aca="false">ROUND(E930*F930,2)</f>
        <v>670.95</v>
      </c>
      <c r="H930" s="2" t="n">
        <f aca="false">E930+G930</f>
        <v>5143.95</v>
      </c>
      <c r="I930" s="3" t="s">
        <v>22</v>
      </c>
      <c r="J930" s="0" t="str">
        <f aca="false">_xlfn.XLOOKUP(C930,Departments!$A$2:$A$6,Departments!$B$2:$B$6,"Unknown")</f>
        <v>Technology</v>
      </c>
    </row>
    <row r="931" customFormat="false" ht="15" hidden="false" customHeight="false" outlineLevel="0" collapsed="false">
      <c r="A931" s="0" t="s">
        <v>958</v>
      </c>
      <c r="B931" s="4" t="n">
        <v>45858</v>
      </c>
      <c r="C931" s="0" t="s">
        <v>32</v>
      </c>
      <c r="D931" s="3" t="s">
        <v>28</v>
      </c>
      <c r="E931" s="2" t="n">
        <v>4510</v>
      </c>
      <c r="F931" s="5" t="n">
        <f aca="false">VLOOKUP(D931,Lookup!$A$2:$B$4,2,FALSE())</f>
        <v>0.05</v>
      </c>
      <c r="G931" s="2" t="n">
        <f aca="false">ROUND(E931*F931,2)</f>
        <v>225.5</v>
      </c>
      <c r="H931" s="2" t="n">
        <f aca="false">E931+G931</f>
        <v>4735.5</v>
      </c>
      <c r="I931" s="3" t="s">
        <v>22</v>
      </c>
      <c r="J931" s="0" t="str">
        <f aca="false">_xlfn.XLOOKUP(C931,Departments!$A$2:$A$6,Departments!$B$2:$B$6,"Unknown")</f>
        <v>Operations</v>
      </c>
    </row>
    <row r="932" customFormat="false" ht="15" hidden="false" customHeight="false" outlineLevel="0" collapsed="false">
      <c r="A932" s="0" t="s">
        <v>959</v>
      </c>
      <c r="B932" s="4" t="n">
        <v>45859</v>
      </c>
      <c r="C932" s="0" t="s">
        <v>20</v>
      </c>
      <c r="D932" s="3" t="s">
        <v>21</v>
      </c>
      <c r="E932" s="2" t="n">
        <v>4547</v>
      </c>
      <c r="F932" s="5" t="n">
        <f aca="false">VLOOKUP(D932,Lookup!$A$2:$B$4,2,FALSE())</f>
        <v>0.1</v>
      </c>
      <c r="G932" s="2" t="n">
        <f aca="false">ROUND(E932*F932,2)</f>
        <v>454.7</v>
      </c>
      <c r="H932" s="2" t="n">
        <f aca="false">E932+G932</f>
        <v>5001.7</v>
      </c>
      <c r="I932" s="3" t="s">
        <v>35</v>
      </c>
      <c r="J932" s="0" t="str">
        <f aca="false">_xlfn.XLOOKUP(C932,Departments!$A$2:$A$6,Departments!$B$2:$B$6,"Unknown")</f>
        <v>Finance</v>
      </c>
    </row>
    <row r="933" customFormat="false" ht="15" hidden="false" customHeight="false" outlineLevel="0" collapsed="false">
      <c r="A933" s="0" t="s">
        <v>960</v>
      </c>
      <c r="B933" s="4" t="n">
        <v>45860</v>
      </c>
      <c r="C933" s="0" t="s">
        <v>24</v>
      </c>
      <c r="D933" s="3" t="s">
        <v>25</v>
      </c>
      <c r="E933" s="2" t="n">
        <v>4584</v>
      </c>
      <c r="F933" s="5" t="n">
        <f aca="false">VLOOKUP(D933,Lookup!$A$2:$B$4,2,FALSE())</f>
        <v>0.15</v>
      </c>
      <c r="G933" s="2" t="n">
        <f aca="false">ROUND(E933*F933,2)</f>
        <v>687.6</v>
      </c>
      <c r="H933" s="2" t="n">
        <f aca="false">E933+G933</f>
        <v>5271.6</v>
      </c>
      <c r="I933" s="3" t="s">
        <v>22</v>
      </c>
      <c r="J933" s="0" t="str">
        <f aca="false">_xlfn.XLOOKUP(C933,Departments!$A$2:$A$6,Departments!$B$2:$B$6,"Unknown")</f>
        <v>Quality</v>
      </c>
    </row>
    <row r="934" customFormat="false" ht="15" hidden="false" customHeight="false" outlineLevel="0" collapsed="false">
      <c r="A934" s="0" t="s">
        <v>961</v>
      </c>
      <c r="B934" s="4" t="n">
        <v>45861</v>
      </c>
      <c r="C934" s="0" t="s">
        <v>27</v>
      </c>
      <c r="D934" s="3" t="s">
        <v>28</v>
      </c>
      <c r="E934" s="2" t="n">
        <v>4621</v>
      </c>
      <c r="F934" s="5" t="n">
        <f aca="false">VLOOKUP(D934,Lookup!$A$2:$B$4,2,FALSE())</f>
        <v>0.05</v>
      </c>
      <c r="G934" s="2" t="n">
        <f aca="false">ROUND(E934*F934,2)</f>
        <v>231.05</v>
      </c>
      <c r="H934" s="2" t="n">
        <f aca="false">E934+G934</f>
        <v>4852.05</v>
      </c>
      <c r="I934" s="3" t="s">
        <v>22</v>
      </c>
      <c r="J934" s="0" t="str">
        <f aca="false">_xlfn.XLOOKUP(C934,Departments!$A$2:$A$6,Departments!$B$2:$B$6,"Unknown")</f>
        <v>Human Resources</v>
      </c>
    </row>
    <row r="935" customFormat="false" ht="15" hidden="false" customHeight="false" outlineLevel="0" collapsed="false">
      <c r="A935" s="0" t="s">
        <v>962</v>
      </c>
      <c r="B935" s="4" t="n">
        <v>45862</v>
      </c>
      <c r="C935" s="0" t="s">
        <v>30</v>
      </c>
      <c r="D935" s="3" t="s">
        <v>21</v>
      </c>
      <c r="E935" s="2" t="n">
        <v>4658</v>
      </c>
      <c r="F935" s="5" t="n">
        <f aca="false">VLOOKUP(D935,Lookup!$A$2:$B$4,2,FALSE())</f>
        <v>0.1</v>
      </c>
      <c r="G935" s="2" t="n">
        <f aca="false">ROUND(E935*F935,2)</f>
        <v>465.8</v>
      </c>
      <c r="H935" s="2" t="n">
        <f aca="false">E935+G935</f>
        <v>5123.8</v>
      </c>
      <c r="I935" s="3" t="s">
        <v>22</v>
      </c>
      <c r="J935" s="0" t="str">
        <f aca="false">_xlfn.XLOOKUP(C935,Departments!$A$2:$A$6,Departments!$B$2:$B$6,"Unknown")</f>
        <v>Technology</v>
      </c>
    </row>
    <row r="936" customFormat="false" ht="15" hidden="false" customHeight="false" outlineLevel="0" collapsed="false">
      <c r="A936" s="0" t="s">
        <v>963</v>
      </c>
      <c r="B936" s="4" t="n">
        <v>45863</v>
      </c>
      <c r="C936" s="0" t="s">
        <v>32</v>
      </c>
      <c r="D936" s="3" t="s">
        <v>25</v>
      </c>
      <c r="E936" s="2" t="n">
        <v>4695</v>
      </c>
      <c r="F936" s="5" t="n">
        <f aca="false">VLOOKUP(D936,Lookup!$A$2:$B$4,2,FALSE())</f>
        <v>0.15</v>
      </c>
      <c r="G936" s="2" t="n">
        <f aca="false">ROUND(E936*F936,2)</f>
        <v>704.25</v>
      </c>
      <c r="H936" s="2" t="n">
        <f aca="false">E936+G936</f>
        <v>5399.25</v>
      </c>
      <c r="I936" s="3" t="s">
        <v>22</v>
      </c>
      <c r="J936" s="0" t="str">
        <f aca="false">_xlfn.XLOOKUP(C936,Departments!$A$2:$A$6,Departments!$B$2:$B$6,"Unknown")</f>
        <v>Operations</v>
      </c>
    </row>
    <row r="937" customFormat="false" ht="15" hidden="false" customHeight="false" outlineLevel="0" collapsed="false">
      <c r="A937" s="0" t="s">
        <v>964</v>
      </c>
      <c r="B937" s="4" t="n">
        <v>45864</v>
      </c>
      <c r="C937" s="0" t="s">
        <v>20</v>
      </c>
      <c r="D937" s="3" t="s">
        <v>28</v>
      </c>
      <c r="E937" s="2" t="n">
        <v>4732</v>
      </c>
      <c r="F937" s="5" t="n">
        <f aca="false">VLOOKUP(D937,Lookup!$A$2:$B$4,2,FALSE())</f>
        <v>0.05</v>
      </c>
      <c r="G937" s="2" t="n">
        <f aca="false">ROUND(E937*F937,2)</f>
        <v>236.6</v>
      </c>
      <c r="H937" s="2" t="n">
        <f aca="false">E937+G937</f>
        <v>4968.6</v>
      </c>
      <c r="I937" s="3" t="s">
        <v>22</v>
      </c>
      <c r="J937" s="0" t="str">
        <f aca="false">_xlfn.XLOOKUP(C937,Departments!$A$2:$A$6,Departments!$B$2:$B$6,"Unknown")</f>
        <v>Finance</v>
      </c>
    </row>
    <row r="938" customFormat="false" ht="15" hidden="false" customHeight="false" outlineLevel="0" collapsed="false">
      <c r="A938" s="0" t="s">
        <v>965</v>
      </c>
      <c r="B938" s="4" t="n">
        <v>45865</v>
      </c>
      <c r="C938" s="0" t="s">
        <v>24</v>
      </c>
      <c r="D938" s="3" t="s">
        <v>21</v>
      </c>
      <c r="E938" s="2" t="n">
        <v>4769</v>
      </c>
      <c r="F938" s="5" t="n">
        <f aca="false">VLOOKUP(D938,Lookup!$A$2:$B$4,2,FALSE())</f>
        <v>0.1</v>
      </c>
      <c r="G938" s="2" t="n">
        <f aca="false">ROUND(E938*F938,2)</f>
        <v>476.9</v>
      </c>
      <c r="H938" s="2" t="n">
        <f aca="false">E938+G938</f>
        <v>5245.9</v>
      </c>
      <c r="I938" s="3" t="s">
        <v>22</v>
      </c>
      <c r="J938" s="0" t="str">
        <f aca="false">_xlfn.XLOOKUP(C938,Departments!$A$2:$A$6,Departments!$B$2:$B$6,"Unknown")</f>
        <v>Quality</v>
      </c>
    </row>
    <row r="939" customFormat="false" ht="15" hidden="false" customHeight="false" outlineLevel="0" collapsed="false">
      <c r="A939" s="0" t="s">
        <v>966</v>
      </c>
      <c r="B939" s="4" t="n">
        <v>45866</v>
      </c>
      <c r="C939" s="0" t="s">
        <v>27</v>
      </c>
      <c r="D939" s="3" t="s">
        <v>25</v>
      </c>
      <c r="E939" s="2" t="n">
        <v>4806</v>
      </c>
      <c r="F939" s="5" t="n">
        <f aca="false">VLOOKUP(D939,Lookup!$A$2:$B$4,2,FALSE())</f>
        <v>0.15</v>
      </c>
      <c r="G939" s="2" t="n">
        <f aca="false">ROUND(E939*F939,2)</f>
        <v>720.9</v>
      </c>
      <c r="H939" s="2" t="n">
        <f aca="false">E939+G939</f>
        <v>5526.9</v>
      </c>
      <c r="I939" s="3" t="s">
        <v>35</v>
      </c>
      <c r="J939" s="0" t="str">
        <f aca="false">_xlfn.XLOOKUP(C939,Departments!$A$2:$A$6,Departments!$B$2:$B$6,"Unknown")</f>
        <v>Human Resources</v>
      </c>
    </row>
    <row r="940" customFormat="false" ht="15" hidden="false" customHeight="false" outlineLevel="0" collapsed="false">
      <c r="A940" s="0" t="s">
        <v>967</v>
      </c>
      <c r="B940" s="4" t="n">
        <v>45867</v>
      </c>
      <c r="C940" s="0" t="s">
        <v>30</v>
      </c>
      <c r="D940" s="3" t="s">
        <v>28</v>
      </c>
      <c r="E940" s="2" t="n">
        <v>4843</v>
      </c>
      <c r="F940" s="5" t="n">
        <f aca="false">VLOOKUP(D940,Lookup!$A$2:$B$4,2,FALSE())</f>
        <v>0.05</v>
      </c>
      <c r="G940" s="2" t="n">
        <f aca="false">ROUND(E940*F940,2)</f>
        <v>242.15</v>
      </c>
      <c r="H940" s="2" t="n">
        <f aca="false">E940+G940</f>
        <v>5085.15</v>
      </c>
      <c r="I940" s="3" t="s">
        <v>22</v>
      </c>
      <c r="J940" s="0" t="str">
        <f aca="false">_xlfn.XLOOKUP(C940,Departments!$A$2:$A$6,Departments!$B$2:$B$6,"Unknown")</f>
        <v>Technology</v>
      </c>
    </row>
    <row r="941" customFormat="false" ht="15" hidden="false" customHeight="false" outlineLevel="0" collapsed="false">
      <c r="A941" s="0" t="s">
        <v>968</v>
      </c>
      <c r="B941" s="4" t="n">
        <v>45868</v>
      </c>
      <c r="C941" s="0" t="s">
        <v>32</v>
      </c>
      <c r="D941" s="3" t="s">
        <v>21</v>
      </c>
      <c r="E941" s="2" t="n">
        <v>4880</v>
      </c>
      <c r="F941" s="5" t="n">
        <f aca="false">VLOOKUP(D941,Lookup!$A$2:$B$4,2,FALSE())</f>
        <v>0.1</v>
      </c>
      <c r="G941" s="2" t="n">
        <f aca="false">ROUND(E941*F941,2)</f>
        <v>488</v>
      </c>
      <c r="H941" s="2" t="n">
        <f aca="false">E941+G941</f>
        <v>5368</v>
      </c>
      <c r="I941" s="3" t="s">
        <v>22</v>
      </c>
      <c r="J941" s="0" t="str">
        <f aca="false">_xlfn.XLOOKUP(C941,Departments!$A$2:$A$6,Departments!$B$2:$B$6,"Unknown")</f>
        <v>Operations</v>
      </c>
    </row>
    <row r="942" customFormat="false" ht="15" hidden="false" customHeight="false" outlineLevel="0" collapsed="false">
      <c r="A942" s="0" t="s">
        <v>969</v>
      </c>
      <c r="B942" s="4" t="n">
        <v>45869</v>
      </c>
      <c r="C942" s="0" t="s">
        <v>20</v>
      </c>
      <c r="D942" s="3" t="s">
        <v>25</v>
      </c>
      <c r="E942" s="2" t="n">
        <v>4917</v>
      </c>
      <c r="F942" s="5" t="n">
        <f aca="false">VLOOKUP(D942,Lookup!$A$2:$B$4,2,FALSE())</f>
        <v>0.15</v>
      </c>
      <c r="G942" s="2" t="n">
        <f aca="false">ROUND(E942*F942,2)</f>
        <v>737.55</v>
      </c>
      <c r="H942" s="2" t="n">
        <f aca="false">E942+G942</f>
        <v>5654.55</v>
      </c>
      <c r="I942" s="3" t="s">
        <v>22</v>
      </c>
      <c r="J942" s="0" t="str">
        <f aca="false">_xlfn.XLOOKUP(C942,Departments!$A$2:$A$6,Departments!$B$2:$B$6,"Unknown")</f>
        <v>Finance</v>
      </c>
    </row>
    <row r="943" customFormat="false" ht="15" hidden="false" customHeight="false" outlineLevel="0" collapsed="false">
      <c r="A943" s="0" t="s">
        <v>970</v>
      </c>
      <c r="B943" s="4" t="n">
        <v>45870</v>
      </c>
      <c r="C943" s="0" t="s">
        <v>24</v>
      </c>
      <c r="D943" s="3" t="s">
        <v>28</v>
      </c>
      <c r="E943" s="2" t="n">
        <v>4954</v>
      </c>
      <c r="F943" s="5" t="n">
        <f aca="false">VLOOKUP(D943,Lookup!$A$2:$B$4,2,FALSE())</f>
        <v>0.05</v>
      </c>
      <c r="G943" s="2" t="n">
        <f aca="false">ROUND(E943*F943,2)</f>
        <v>247.7</v>
      </c>
      <c r="H943" s="2" t="n">
        <f aca="false">E943+G943</f>
        <v>5201.7</v>
      </c>
      <c r="I943" s="3" t="s">
        <v>22</v>
      </c>
      <c r="J943" s="0" t="str">
        <f aca="false">_xlfn.XLOOKUP(C943,Departments!$A$2:$A$6,Departments!$B$2:$B$6,"Unknown")</f>
        <v>Quality</v>
      </c>
    </row>
    <row r="944" customFormat="false" ht="15" hidden="false" customHeight="false" outlineLevel="0" collapsed="false">
      <c r="A944" s="0" t="s">
        <v>971</v>
      </c>
      <c r="B944" s="4" t="n">
        <v>45871</v>
      </c>
      <c r="C944" s="0" t="s">
        <v>27</v>
      </c>
      <c r="D944" s="3" t="s">
        <v>21</v>
      </c>
      <c r="E944" s="2" t="n">
        <v>4991</v>
      </c>
      <c r="F944" s="5" t="n">
        <f aca="false">VLOOKUP(D944,Lookup!$A$2:$B$4,2,FALSE())</f>
        <v>0.1</v>
      </c>
      <c r="G944" s="2" t="n">
        <f aca="false">ROUND(E944*F944,2)</f>
        <v>499.1</v>
      </c>
      <c r="H944" s="2" t="n">
        <f aca="false">E944+G944</f>
        <v>5490.1</v>
      </c>
      <c r="I944" s="3" t="s">
        <v>22</v>
      </c>
      <c r="J944" s="0" t="str">
        <f aca="false">_xlfn.XLOOKUP(C944,Departments!$A$2:$A$6,Departments!$B$2:$B$6,"Unknown")</f>
        <v>Human Resources</v>
      </c>
    </row>
    <row r="945" customFormat="false" ht="15" hidden="false" customHeight="false" outlineLevel="0" collapsed="false">
      <c r="A945" s="0" t="s">
        <v>972</v>
      </c>
      <c r="B945" s="4" t="n">
        <v>45872</v>
      </c>
      <c r="C945" s="0" t="s">
        <v>30</v>
      </c>
      <c r="D945" s="3" t="s">
        <v>25</v>
      </c>
      <c r="E945" s="2" t="n">
        <v>5028</v>
      </c>
      <c r="F945" s="5" t="n">
        <f aca="false">VLOOKUP(D945,Lookup!$A$2:$B$4,2,FALSE())</f>
        <v>0.15</v>
      </c>
      <c r="G945" s="2" t="n">
        <f aca="false">ROUND(E945*F945,2)</f>
        <v>754.2</v>
      </c>
      <c r="H945" s="2" t="n">
        <f aca="false">E945+G945</f>
        <v>5782.2</v>
      </c>
      <c r="I945" s="3" t="s">
        <v>22</v>
      </c>
      <c r="J945" s="0" t="str">
        <f aca="false">_xlfn.XLOOKUP(C945,Departments!$A$2:$A$6,Departments!$B$2:$B$6,"Unknown")</f>
        <v>Technology</v>
      </c>
    </row>
    <row r="946" customFormat="false" ht="15" hidden="false" customHeight="false" outlineLevel="0" collapsed="false">
      <c r="A946" s="0" t="s">
        <v>973</v>
      </c>
      <c r="B946" s="4" t="n">
        <v>45873</v>
      </c>
      <c r="C946" s="0" t="s">
        <v>32</v>
      </c>
      <c r="D946" s="3" t="s">
        <v>28</v>
      </c>
      <c r="E946" s="2" t="n">
        <v>5065</v>
      </c>
      <c r="F946" s="5" t="n">
        <f aca="false">VLOOKUP(D946,Lookup!$A$2:$B$4,2,FALSE())</f>
        <v>0.05</v>
      </c>
      <c r="G946" s="2" t="n">
        <f aca="false">ROUND(E946*F946,2)</f>
        <v>253.25</v>
      </c>
      <c r="H946" s="2" t="n">
        <f aca="false">E946+G946</f>
        <v>5318.25</v>
      </c>
      <c r="I946" s="3" t="s">
        <v>35</v>
      </c>
      <c r="J946" s="0" t="str">
        <f aca="false">_xlfn.XLOOKUP(C946,Departments!$A$2:$A$6,Departments!$B$2:$B$6,"Unknown")</f>
        <v>Operations</v>
      </c>
    </row>
    <row r="947" customFormat="false" ht="15" hidden="false" customHeight="false" outlineLevel="0" collapsed="false">
      <c r="A947" s="0" t="s">
        <v>974</v>
      </c>
      <c r="B947" s="4" t="n">
        <v>45874</v>
      </c>
      <c r="C947" s="0" t="s">
        <v>20</v>
      </c>
      <c r="D947" s="3" t="s">
        <v>21</v>
      </c>
      <c r="E947" s="2" t="n">
        <v>102</v>
      </c>
      <c r="F947" s="5" t="n">
        <f aca="false">VLOOKUP(D947,Lookup!$A$2:$B$4,2,FALSE())</f>
        <v>0.1</v>
      </c>
      <c r="G947" s="2" t="n">
        <f aca="false">ROUND(E947*F947,2)</f>
        <v>10.2</v>
      </c>
      <c r="H947" s="2" t="n">
        <f aca="false">E947+G947</f>
        <v>112.2</v>
      </c>
      <c r="I947" s="3" t="s">
        <v>22</v>
      </c>
      <c r="J947" s="0" t="str">
        <f aca="false">_xlfn.XLOOKUP(C947,Departments!$A$2:$A$6,Departments!$B$2:$B$6,"Unknown")</f>
        <v>Finance</v>
      </c>
    </row>
    <row r="948" customFormat="false" ht="15" hidden="false" customHeight="false" outlineLevel="0" collapsed="false">
      <c r="A948" s="0" t="s">
        <v>975</v>
      </c>
      <c r="B948" s="4" t="n">
        <v>45875</v>
      </c>
      <c r="C948" s="0" t="s">
        <v>24</v>
      </c>
      <c r="D948" s="3" t="s">
        <v>25</v>
      </c>
      <c r="E948" s="2" t="n">
        <v>139</v>
      </c>
      <c r="F948" s="5" t="n">
        <f aca="false">VLOOKUP(D948,Lookup!$A$2:$B$4,2,FALSE())</f>
        <v>0.15</v>
      </c>
      <c r="G948" s="2" t="n">
        <f aca="false">ROUND(E948*F948,2)</f>
        <v>20.85</v>
      </c>
      <c r="H948" s="2" t="n">
        <f aca="false">E948+G948</f>
        <v>159.85</v>
      </c>
      <c r="I948" s="3" t="s">
        <v>22</v>
      </c>
      <c r="J948" s="0" t="str">
        <f aca="false">_xlfn.XLOOKUP(C948,Departments!$A$2:$A$6,Departments!$B$2:$B$6,"Unknown")</f>
        <v>Quality</v>
      </c>
    </row>
    <row r="949" customFormat="false" ht="15" hidden="false" customHeight="false" outlineLevel="0" collapsed="false">
      <c r="A949" s="0" t="s">
        <v>976</v>
      </c>
      <c r="B949" s="4" t="n">
        <v>45876</v>
      </c>
      <c r="C949" s="0" t="s">
        <v>27</v>
      </c>
      <c r="D949" s="3" t="s">
        <v>28</v>
      </c>
      <c r="E949" s="2" t="n">
        <v>176</v>
      </c>
      <c r="F949" s="5" t="n">
        <f aca="false">VLOOKUP(D949,Lookup!$A$2:$B$4,2,FALSE())</f>
        <v>0.05</v>
      </c>
      <c r="G949" s="2" t="n">
        <f aca="false">ROUND(E949*F949,2)</f>
        <v>8.8</v>
      </c>
      <c r="H949" s="2" t="n">
        <f aca="false">E949+G949</f>
        <v>184.8</v>
      </c>
      <c r="I949" s="3" t="s">
        <v>22</v>
      </c>
      <c r="J949" s="0" t="str">
        <f aca="false">_xlfn.XLOOKUP(C949,Departments!$A$2:$A$6,Departments!$B$2:$B$6,"Unknown")</f>
        <v>Human Resources</v>
      </c>
    </row>
    <row r="950" customFormat="false" ht="15" hidden="false" customHeight="false" outlineLevel="0" collapsed="false">
      <c r="A950" s="0" t="s">
        <v>977</v>
      </c>
      <c r="B950" s="4" t="n">
        <v>45877</v>
      </c>
      <c r="C950" s="0" t="s">
        <v>30</v>
      </c>
      <c r="D950" s="3" t="s">
        <v>21</v>
      </c>
      <c r="E950" s="2" t="n">
        <v>213</v>
      </c>
      <c r="F950" s="5" t="n">
        <f aca="false">VLOOKUP(D950,Lookup!$A$2:$B$4,2,FALSE())</f>
        <v>0.1</v>
      </c>
      <c r="G950" s="2" t="n">
        <f aca="false">ROUND(E950*F950,2)</f>
        <v>21.3</v>
      </c>
      <c r="H950" s="2" t="n">
        <f aca="false">E950+G950</f>
        <v>234.3</v>
      </c>
      <c r="I950" s="3" t="s">
        <v>22</v>
      </c>
      <c r="J950" s="0" t="str">
        <f aca="false">_xlfn.XLOOKUP(C950,Departments!$A$2:$A$6,Departments!$B$2:$B$6,"Unknown")</f>
        <v>Technology</v>
      </c>
    </row>
    <row r="951" customFormat="false" ht="15" hidden="false" customHeight="false" outlineLevel="0" collapsed="false">
      <c r="A951" s="0" t="s">
        <v>978</v>
      </c>
      <c r="B951" s="4" t="n">
        <v>45878</v>
      </c>
      <c r="C951" s="0" t="s">
        <v>32</v>
      </c>
      <c r="D951" s="3" t="s">
        <v>25</v>
      </c>
      <c r="E951" s="2" t="n">
        <v>250</v>
      </c>
      <c r="F951" s="5" t="n">
        <f aca="false">VLOOKUP(D951,Lookup!$A$2:$B$4,2,FALSE())</f>
        <v>0.15</v>
      </c>
      <c r="G951" s="2" t="n">
        <f aca="false">ROUND(E951*F951,2)</f>
        <v>37.5</v>
      </c>
      <c r="H951" s="2" t="n">
        <f aca="false">E951+G951</f>
        <v>287.5</v>
      </c>
      <c r="I951" s="3" t="s">
        <v>22</v>
      </c>
      <c r="J951" s="0" t="str">
        <f aca="false">_xlfn.XLOOKUP(C951,Departments!$A$2:$A$6,Departments!$B$2:$B$6,"Unknown")</f>
        <v>Operations</v>
      </c>
    </row>
    <row r="952" customFormat="false" ht="15" hidden="false" customHeight="false" outlineLevel="0" collapsed="false">
      <c r="A952" s="0" t="s">
        <v>979</v>
      </c>
      <c r="B952" s="4" t="n">
        <v>45879</v>
      </c>
      <c r="C952" s="0" t="s">
        <v>20</v>
      </c>
      <c r="D952" s="3" t="s">
        <v>28</v>
      </c>
      <c r="E952" s="2" t="n">
        <v>287</v>
      </c>
      <c r="F952" s="5" t="n">
        <f aca="false">VLOOKUP(D952,Lookup!$A$2:$B$4,2,FALSE())</f>
        <v>0.05</v>
      </c>
      <c r="G952" s="2" t="n">
        <f aca="false">ROUND(E952*F952,2)</f>
        <v>14.35</v>
      </c>
      <c r="H952" s="2" t="n">
        <f aca="false">E952+G952</f>
        <v>301.35</v>
      </c>
      <c r="I952" s="3" t="s">
        <v>22</v>
      </c>
      <c r="J952" s="0" t="str">
        <f aca="false">_xlfn.XLOOKUP(C952,Departments!$A$2:$A$6,Departments!$B$2:$B$6,"Unknown")</f>
        <v>Finance</v>
      </c>
    </row>
    <row r="953" customFormat="false" ht="15" hidden="false" customHeight="false" outlineLevel="0" collapsed="false">
      <c r="A953" s="0" t="s">
        <v>980</v>
      </c>
      <c r="B953" s="4" t="n">
        <v>45880</v>
      </c>
      <c r="C953" s="0" t="s">
        <v>24</v>
      </c>
      <c r="D953" s="3" t="s">
        <v>21</v>
      </c>
      <c r="E953" s="2" t="n">
        <v>324</v>
      </c>
      <c r="F953" s="5" t="n">
        <f aca="false">VLOOKUP(D953,Lookup!$A$2:$B$4,2,FALSE())</f>
        <v>0.1</v>
      </c>
      <c r="G953" s="2" t="n">
        <f aca="false">ROUND(E953*F953,2)</f>
        <v>32.4</v>
      </c>
      <c r="H953" s="2" t="n">
        <f aca="false">E953+G953</f>
        <v>356.4</v>
      </c>
      <c r="I953" s="3" t="s">
        <v>35</v>
      </c>
      <c r="J953" s="0" t="str">
        <f aca="false">_xlfn.XLOOKUP(C953,Departments!$A$2:$A$6,Departments!$B$2:$B$6,"Unknown")</f>
        <v>Quality</v>
      </c>
    </row>
    <row r="954" customFormat="false" ht="15" hidden="false" customHeight="false" outlineLevel="0" collapsed="false">
      <c r="A954" s="0" t="s">
        <v>981</v>
      </c>
      <c r="B954" s="4" t="n">
        <v>45881</v>
      </c>
      <c r="C954" s="0" t="s">
        <v>27</v>
      </c>
      <c r="D954" s="3" t="s">
        <v>25</v>
      </c>
      <c r="E954" s="2" t="n">
        <v>361</v>
      </c>
      <c r="F954" s="5" t="n">
        <f aca="false">VLOOKUP(D954,Lookup!$A$2:$B$4,2,FALSE())</f>
        <v>0.15</v>
      </c>
      <c r="G954" s="2" t="n">
        <f aca="false">ROUND(E954*F954,2)</f>
        <v>54.15</v>
      </c>
      <c r="H954" s="2" t="n">
        <f aca="false">E954+G954</f>
        <v>415.15</v>
      </c>
      <c r="I954" s="3" t="s">
        <v>22</v>
      </c>
      <c r="J954" s="0" t="str">
        <f aca="false">_xlfn.XLOOKUP(C954,Departments!$A$2:$A$6,Departments!$B$2:$B$6,"Unknown")</f>
        <v>Human Resources</v>
      </c>
    </row>
    <row r="955" customFormat="false" ht="15" hidden="false" customHeight="false" outlineLevel="0" collapsed="false">
      <c r="A955" s="0" t="s">
        <v>982</v>
      </c>
      <c r="B955" s="4" t="n">
        <v>45882</v>
      </c>
      <c r="C955" s="0" t="s">
        <v>30</v>
      </c>
      <c r="D955" s="3" t="s">
        <v>28</v>
      </c>
      <c r="E955" s="2" t="n">
        <v>398</v>
      </c>
      <c r="F955" s="5" t="n">
        <f aca="false">VLOOKUP(D955,Lookup!$A$2:$B$4,2,FALSE())</f>
        <v>0.05</v>
      </c>
      <c r="G955" s="2" t="n">
        <f aca="false">ROUND(E955*F955,2)</f>
        <v>19.9</v>
      </c>
      <c r="H955" s="2" t="n">
        <f aca="false">E955+G955</f>
        <v>417.9</v>
      </c>
      <c r="I955" s="3" t="s">
        <v>22</v>
      </c>
      <c r="J955" s="0" t="str">
        <f aca="false">_xlfn.XLOOKUP(C955,Departments!$A$2:$A$6,Departments!$B$2:$B$6,"Unknown")</f>
        <v>Technology</v>
      </c>
    </row>
    <row r="956" customFormat="false" ht="15" hidden="false" customHeight="false" outlineLevel="0" collapsed="false">
      <c r="A956" s="0" t="s">
        <v>983</v>
      </c>
      <c r="B956" s="4" t="n">
        <v>45883</v>
      </c>
      <c r="C956" s="0" t="s">
        <v>32</v>
      </c>
      <c r="D956" s="3" t="s">
        <v>21</v>
      </c>
      <c r="E956" s="2" t="n">
        <v>435</v>
      </c>
      <c r="F956" s="5" t="n">
        <f aca="false">VLOOKUP(D956,Lookup!$A$2:$B$4,2,FALSE())</f>
        <v>0.1</v>
      </c>
      <c r="G956" s="2" t="n">
        <f aca="false">ROUND(E956*F956,2)</f>
        <v>43.5</v>
      </c>
      <c r="H956" s="2" t="n">
        <f aca="false">E956+G956</f>
        <v>478.5</v>
      </c>
      <c r="I956" s="3" t="s">
        <v>22</v>
      </c>
      <c r="J956" s="0" t="str">
        <f aca="false">_xlfn.XLOOKUP(C956,Departments!$A$2:$A$6,Departments!$B$2:$B$6,"Unknown")</f>
        <v>Operations</v>
      </c>
    </row>
    <row r="957" customFormat="false" ht="15" hidden="false" customHeight="false" outlineLevel="0" collapsed="false">
      <c r="A957" s="0" t="s">
        <v>984</v>
      </c>
      <c r="B957" s="4" t="n">
        <v>45884</v>
      </c>
      <c r="C957" s="0" t="s">
        <v>20</v>
      </c>
      <c r="D957" s="3" t="s">
        <v>25</v>
      </c>
      <c r="E957" s="2" t="n">
        <v>472</v>
      </c>
      <c r="F957" s="5" t="n">
        <f aca="false">VLOOKUP(D957,Lookup!$A$2:$B$4,2,FALSE())</f>
        <v>0.15</v>
      </c>
      <c r="G957" s="2" t="n">
        <f aca="false">ROUND(E957*F957,2)</f>
        <v>70.8</v>
      </c>
      <c r="H957" s="2" t="n">
        <f aca="false">E957+G957</f>
        <v>542.8</v>
      </c>
      <c r="I957" s="3" t="s">
        <v>22</v>
      </c>
      <c r="J957" s="0" t="str">
        <f aca="false">_xlfn.XLOOKUP(C957,Departments!$A$2:$A$6,Departments!$B$2:$B$6,"Unknown")</f>
        <v>Finance</v>
      </c>
    </row>
    <row r="958" customFormat="false" ht="15" hidden="false" customHeight="false" outlineLevel="0" collapsed="false">
      <c r="A958" s="0" t="s">
        <v>985</v>
      </c>
      <c r="B958" s="4" t="n">
        <v>45885</v>
      </c>
      <c r="C958" s="0" t="s">
        <v>24</v>
      </c>
      <c r="D958" s="3" t="s">
        <v>28</v>
      </c>
      <c r="E958" s="2" t="n">
        <v>509</v>
      </c>
      <c r="F958" s="5" t="n">
        <f aca="false">VLOOKUP(D958,Lookup!$A$2:$B$4,2,FALSE())</f>
        <v>0.05</v>
      </c>
      <c r="G958" s="2" t="n">
        <f aca="false">ROUND(E958*F958,2)</f>
        <v>25.45</v>
      </c>
      <c r="H958" s="2" t="n">
        <f aca="false">E958+G958</f>
        <v>534.45</v>
      </c>
      <c r="I958" s="3" t="s">
        <v>22</v>
      </c>
      <c r="J958" s="0" t="str">
        <f aca="false">_xlfn.XLOOKUP(C958,Departments!$A$2:$A$6,Departments!$B$2:$B$6,"Unknown")</f>
        <v>Quality</v>
      </c>
    </row>
    <row r="959" customFormat="false" ht="15" hidden="false" customHeight="false" outlineLevel="0" collapsed="false">
      <c r="A959" s="0" t="s">
        <v>986</v>
      </c>
      <c r="B959" s="4" t="n">
        <v>45886</v>
      </c>
      <c r="C959" s="0" t="s">
        <v>27</v>
      </c>
      <c r="D959" s="3" t="s">
        <v>21</v>
      </c>
      <c r="E959" s="2" t="n">
        <v>546</v>
      </c>
      <c r="F959" s="5" t="n">
        <f aca="false">VLOOKUP(D959,Lookup!$A$2:$B$4,2,FALSE())</f>
        <v>0.1</v>
      </c>
      <c r="G959" s="2" t="n">
        <f aca="false">ROUND(E959*F959,2)</f>
        <v>54.6</v>
      </c>
      <c r="H959" s="2" t="n">
        <f aca="false">E959+G959</f>
        <v>600.6</v>
      </c>
      <c r="I959" s="3" t="s">
        <v>22</v>
      </c>
      <c r="J959" s="0" t="str">
        <f aca="false">_xlfn.XLOOKUP(C959,Departments!$A$2:$A$6,Departments!$B$2:$B$6,"Unknown")</f>
        <v>Human Resources</v>
      </c>
    </row>
    <row r="960" customFormat="false" ht="15" hidden="false" customHeight="false" outlineLevel="0" collapsed="false">
      <c r="A960" s="0" t="s">
        <v>987</v>
      </c>
      <c r="B960" s="4" t="n">
        <v>45887</v>
      </c>
      <c r="C960" s="0" t="s">
        <v>30</v>
      </c>
      <c r="D960" s="3" t="s">
        <v>25</v>
      </c>
      <c r="E960" s="2" t="n">
        <v>583</v>
      </c>
      <c r="F960" s="5" t="n">
        <f aca="false">VLOOKUP(D960,Lookup!$A$2:$B$4,2,FALSE())</f>
        <v>0.15</v>
      </c>
      <c r="G960" s="2" t="n">
        <f aca="false">ROUND(E960*F960,2)</f>
        <v>87.45</v>
      </c>
      <c r="H960" s="2" t="n">
        <f aca="false">E960+G960</f>
        <v>670.45</v>
      </c>
      <c r="I960" s="3" t="s">
        <v>35</v>
      </c>
      <c r="J960" s="0" t="str">
        <f aca="false">_xlfn.XLOOKUP(C960,Departments!$A$2:$A$6,Departments!$B$2:$B$6,"Unknown")</f>
        <v>Technology</v>
      </c>
    </row>
    <row r="961" customFormat="false" ht="15" hidden="false" customHeight="false" outlineLevel="0" collapsed="false">
      <c r="A961" s="0" t="s">
        <v>988</v>
      </c>
      <c r="B961" s="4" t="n">
        <v>45888</v>
      </c>
      <c r="C961" s="0" t="s">
        <v>32</v>
      </c>
      <c r="D961" s="3" t="s">
        <v>28</v>
      </c>
      <c r="E961" s="2" t="n">
        <v>620</v>
      </c>
      <c r="F961" s="5" t="n">
        <f aca="false">VLOOKUP(D961,Lookup!$A$2:$B$4,2,FALSE())</f>
        <v>0.05</v>
      </c>
      <c r="G961" s="2" t="n">
        <f aca="false">ROUND(E961*F961,2)</f>
        <v>31</v>
      </c>
      <c r="H961" s="2" t="n">
        <f aca="false">E961+G961</f>
        <v>651</v>
      </c>
      <c r="I961" s="3" t="s">
        <v>22</v>
      </c>
      <c r="J961" s="0" t="str">
        <f aca="false">_xlfn.XLOOKUP(C961,Departments!$A$2:$A$6,Departments!$B$2:$B$6,"Unknown")</f>
        <v>Operations</v>
      </c>
    </row>
    <row r="962" customFormat="false" ht="15" hidden="false" customHeight="false" outlineLevel="0" collapsed="false">
      <c r="A962" s="0" t="s">
        <v>989</v>
      </c>
      <c r="B962" s="4" t="n">
        <v>45889</v>
      </c>
      <c r="C962" s="0" t="s">
        <v>20</v>
      </c>
      <c r="D962" s="3" t="s">
        <v>21</v>
      </c>
      <c r="E962" s="2" t="n">
        <v>657</v>
      </c>
      <c r="F962" s="5" t="n">
        <f aca="false">VLOOKUP(D962,Lookup!$A$2:$B$4,2,FALSE())</f>
        <v>0.1</v>
      </c>
      <c r="G962" s="2" t="n">
        <f aca="false">ROUND(E962*F962,2)</f>
        <v>65.7</v>
      </c>
      <c r="H962" s="2" t="n">
        <f aca="false">E962+G962</f>
        <v>722.7</v>
      </c>
      <c r="I962" s="3" t="s">
        <v>22</v>
      </c>
      <c r="J962" s="0" t="str">
        <f aca="false">_xlfn.XLOOKUP(C962,Departments!$A$2:$A$6,Departments!$B$2:$B$6,"Unknown")</f>
        <v>Finance</v>
      </c>
    </row>
    <row r="963" customFormat="false" ht="15" hidden="false" customHeight="false" outlineLevel="0" collapsed="false">
      <c r="A963" s="0" t="s">
        <v>990</v>
      </c>
      <c r="B963" s="4" t="n">
        <v>45890</v>
      </c>
      <c r="C963" s="0" t="s">
        <v>24</v>
      </c>
      <c r="D963" s="3" t="s">
        <v>25</v>
      </c>
      <c r="E963" s="2" t="n">
        <v>694</v>
      </c>
      <c r="F963" s="5" t="n">
        <f aca="false">VLOOKUP(D963,Lookup!$A$2:$B$4,2,FALSE())</f>
        <v>0.15</v>
      </c>
      <c r="G963" s="2" t="n">
        <f aca="false">ROUND(E963*F963,2)</f>
        <v>104.1</v>
      </c>
      <c r="H963" s="2" t="n">
        <f aca="false">E963+G963</f>
        <v>798.1</v>
      </c>
      <c r="I963" s="3" t="s">
        <v>22</v>
      </c>
      <c r="J963" s="0" t="str">
        <f aca="false">_xlfn.XLOOKUP(C963,Departments!$A$2:$A$6,Departments!$B$2:$B$6,"Unknown")</f>
        <v>Quality</v>
      </c>
    </row>
    <row r="964" customFormat="false" ht="15" hidden="false" customHeight="false" outlineLevel="0" collapsed="false">
      <c r="A964" s="0" t="s">
        <v>991</v>
      </c>
      <c r="B964" s="4" t="n">
        <v>45891</v>
      </c>
      <c r="C964" s="0" t="s">
        <v>27</v>
      </c>
      <c r="D964" s="3" t="s">
        <v>28</v>
      </c>
      <c r="E964" s="2" t="n">
        <v>731</v>
      </c>
      <c r="F964" s="5" t="n">
        <f aca="false">VLOOKUP(D964,Lookup!$A$2:$B$4,2,FALSE())</f>
        <v>0.05</v>
      </c>
      <c r="G964" s="2" t="n">
        <f aca="false">ROUND(E964*F964,2)</f>
        <v>36.55</v>
      </c>
      <c r="H964" s="2" t="n">
        <f aca="false">E964+G964</f>
        <v>767.55</v>
      </c>
      <c r="I964" s="3" t="s">
        <v>22</v>
      </c>
      <c r="J964" s="0" t="str">
        <f aca="false">_xlfn.XLOOKUP(C964,Departments!$A$2:$A$6,Departments!$B$2:$B$6,"Unknown")</f>
        <v>Human Resources</v>
      </c>
    </row>
    <row r="965" customFormat="false" ht="15" hidden="false" customHeight="false" outlineLevel="0" collapsed="false">
      <c r="A965" s="0" t="s">
        <v>992</v>
      </c>
      <c r="B965" s="4" t="n">
        <v>45892</v>
      </c>
      <c r="C965" s="0" t="s">
        <v>30</v>
      </c>
      <c r="D965" s="3" t="s">
        <v>21</v>
      </c>
      <c r="E965" s="2" t="n">
        <v>768</v>
      </c>
      <c r="F965" s="5" t="n">
        <f aca="false">VLOOKUP(D965,Lookup!$A$2:$B$4,2,FALSE())</f>
        <v>0.1</v>
      </c>
      <c r="G965" s="2" t="n">
        <f aca="false">ROUND(E965*F965,2)</f>
        <v>76.8</v>
      </c>
      <c r="H965" s="2" t="n">
        <f aca="false">E965+G965</f>
        <v>844.8</v>
      </c>
      <c r="I965" s="3" t="s">
        <v>22</v>
      </c>
      <c r="J965" s="0" t="str">
        <f aca="false">_xlfn.XLOOKUP(C965,Departments!$A$2:$A$6,Departments!$B$2:$B$6,"Unknown")</f>
        <v>Technology</v>
      </c>
    </row>
    <row r="966" customFormat="false" ht="15" hidden="false" customHeight="false" outlineLevel="0" collapsed="false">
      <c r="A966" s="0" t="s">
        <v>993</v>
      </c>
      <c r="B966" s="4" t="n">
        <v>45893</v>
      </c>
      <c r="C966" s="0" t="s">
        <v>32</v>
      </c>
      <c r="D966" s="3" t="s">
        <v>25</v>
      </c>
      <c r="E966" s="2" t="n">
        <v>805</v>
      </c>
      <c r="F966" s="5" t="n">
        <f aca="false">VLOOKUP(D966,Lookup!$A$2:$B$4,2,FALSE())</f>
        <v>0.15</v>
      </c>
      <c r="G966" s="2" t="n">
        <f aca="false">ROUND(E966*F966,2)</f>
        <v>120.75</v>
      </c>
      <c r="H966" s="2" t="n">
        <f aca="false">E966+G966</f>
        <v>925.75</v>
      </c>
      <c r="I966" s="3" t="s">
        <v>22</v>
      </c>
      <c r="J966" s="0" t="str">
        <f aca="false">_xlfn.XLOOKUP(C966,Departments!$A$2:$A$6,Departments!$B$2:$B$6,"Unknown")</f>
        <v>Operations</v>
      </c>
    </row>
    <row r="967" customFormat="false" ht="15" hidden="false" customHeight="false" outlineLevel="0" collapsed="false">
      <c r="A967" s="0" t="s">
        <v>994</v>
      </c>
      <c r="B967" s="4" t="n">
        <v>45894</v>
      </c>
      <c r="C967" s="0" t="s">
        <v>20</v>
      </c>
      <c r="D967" s="3" t="s">
        <v>28</v>
      </c>
      <c r="E967" s="2" t="n">
        <v>842</v>
      </c>
      <c r="F967" s="5" t="n">
        <f aca="false">VLOOKUP(D967,Lookup!$A$2:$B$4,2,FALSE())</f>
        <v>0.05</v>
      </c>
      <c r="G967" s="2" t="n">
        <f aca="false">ROUND(E967*F967,2)</f>
        <v>42.1</v>
      </c>
      <c r="H967" s="2" t="n">
        <f aca="false">E967+G967</f>
        <v>884.1</v>
      </c>
      <c r="I967" s="3" t="s">
        <v>35</v>
      </c>
      <c r="J967" s="0" t="str">
        <f aca="false">_xlfn.XLOOKUP(C967,Departments!$A$2:$A$6,Departments!$B$2:$B$6,"Unknown")</f>
        <v>Finance</v>
      </c>
    </row>
    <row r="968" customFormat="false" ht="15" hidden="false" customHeight="false" outlineLevel="0" collapsed="false">
      <c r="A968" s="0" t="s">
        <v>995</v>
      </c>
      <c r="B968" s="4" t="n">
        <v>45895</v>
      </c>
      <c r="C968" s="0" t="s">
        <v>24</v>
      </c>
      <c r="D968" s="3" t="s">
        <v>21</v>
      </c>
      <c r="E968" s="2" t="n">
        <v>879</v>
      </c>
      <c r="F968" s="5" t="n">
        <f aca="false">VLOOKUP(D968,Lookup!$A$2:$B$4,2,FALSE())</f>
        <v>0.1</v>
      </c>
      <c r="G968" s="2" t="n">
        <f aca="false">ROUND(E968*F968,2)</f>
        <v>87.9</v>
      </c>
      <c r="H968" s="2" t="n">
        <f aca="false">E968+G968</f>
        <v>966.9</v>
      </c>
      <c r="I968" s="3" t="s">
        <v>22</v>
      </c>
      <c r="J968" s="0" t="str">
        <f aca="false">_xlfn.XLOOKUP(C968,Departments!$A$2:$A$6,Departments!$B$2:$B$6,"Unknown")</f>
        <v>Quality</v>
      </c>
    </row>
    <row r="969" customFormat="false" ht="15" hidden="false" customHeight="false" outlineLevel="0" collapsed="false">
      <c r="A969" s="0" t="s">
        <v>996</v>
      </c>
      <c r="B969" s="4" t="n">
        <v>45896</v>
      </c>
      <c r="C969" s="0" t="s">
        <v>27</v>
      </c>
      <c r="D969" s="3" t="s">
        <v>25</v>
      </c>
      <c r="E969" s="2" t="n">
        <v>916</v>
      </c>
      <c r="F969" s="5" t="n">
        <f aca="false">VLOOKUP(D969,Lookup!$A$2:$B$4,2,FALSE())</f>
        <v>0.15</v>
      </c>
      <c r="G969" s="2" t="n">
        <f aca="false">ROUND(E969*F969,2)</f>
        <v>137.4</v>
      </c>
      <c r="H969" s="2" t="n">
        <f aca="false">E969+G969</f>
        <v>1053.4</v>
      </c>
      <c r="I969" s="3" t="s">
        <v>22</v>
      </c>
      <c r="J969" s="0" t="str">
        <f aca="false">_xlfn.XLOOKUP(C969,Departments!$A$2:$A$6,Departments!$B$2:$B$6,"Unknown")</f>
        <v>Human Resources</v>
      </c>
    </row>
    <row r="970" customFormat="false" ht="15" hidden="false" customHeight="false" outlineLevel="0" collapsed="false">
      <c r="A970" s="0" t="s">
        <v>997</v>
      </c>
      <c r="B970" s="4" t="n">
        <v>45897</v>
      </c>
      <c r="C970" s="0" t="s">
        <v>30</v>
      </c>
      <c r="D970" s="3" t="s">
        <v>28</v>
      </c>
      <c r="E970" s="2" t="n">
        <v>953</v>
      </c>
      <c r="F970" s="5" t="n">
        <f aca="false">VLOOKUP(D970,Lookup!$A$2:$B$4,2,FALSE())</f>
        <v>0.05</v>
      </c>
      <c r="G970" s="2" t="n">
        <f aca="false">ROUND(E970*F970,2)</f>
        <v>47.65</v>
      </c>
      <c r="H970" s="2" t="n">
        <f aca="false">E970+G970</f>
        <v>1000.65</v>
      </c>
      <c r="I970" s="3" t="s">
        <v>22</v>
      </c>
      <c r="J970" s="0" t="str">
        <f aca="false">_xlfn.XLOOKUP(C970,Departments!$A$2:$A$6,Departments!$B$2:$B$6,"Unknown")</f>
        <v>Technology</v>
      </c>
    </row>
    <row r="971" customFormat="false" ht="15" hidden="false" customHeight="false" outlineLevel="0" collapsed="false">
      <c r="A971" s="0" t="s">
        <v>998</v>
      </c>
      <c r="B971" s="4" t="n">
        <v>45898</v>
      </c>
      <c r="C971" s="0" t="s">
        <v>32</v>
      </c>
      <c r="D971" s="3" t="s">
        <v>21</v>
      </c>
      <c r="E971" s="2" t="n">
        <v>990</v>
      </c>
      <c r="F971" s="5" t="n">
        <f aca="false">VLOOKUP(D971,Lookup!$A$2:$B$4,2,FALSE())</f>
        <v>0.1</v>
      </c>
      <c r="G971" s="2" t="n">
        <f aca="false">ROUND(E971*F971,2)</f>
        <v>99</v>
      </c>
      <c r="H971" s="2" t="n">
        <f aca="false">E971+G971</f>
        <v>1089</v>
      </c>
      <c r="I971" s="3" t="s">
        <v>22</v>
      </c>
      <c r="J971" s="0" t="str">
        <f aca="false">_xlfn.XLOOKUP(C971,Departments!$A$2:$A$6,Departments!$B$2:$B$6,"Unknown")</f>
        <v>Operations</v>
      </c>
    </row>
    <row r="972" customFormat="false" ht="15" hidden="false" customHeight="false" outlineLevel="0" collapsed="false">
      <c r="A972" s="0" t="s">
        <v>999</v>
      </c>
      <c r="B972" s="4" t="n">
        <v>45899</v>
      </c>
      <c r="C972" s="0" t="s">
        <v>20</v>
      </c>
      <c r="D972" s="3" t="s">
        <v>25</v>
      </c>
      <c r="E972" s="2" t="n">
        <v>1027</v>
      </c>
      <c r="F972" s="5" t="n">
        <f aca="false">VLOOKUP(D972,Lookup!$A$2:$B$4,2,FALSE())</f>
        <v>0.15</v>
      </c>
      <c r="G972" s="2" t="n">
        <f aca="false">ROUND(E972*F972,2)</f>
        <v>154.05</v>
      </c>
      <c r="H972" s="2" t="n">
        <f aca="false">E972+G972</f>
        <v>1181.05</v>
      </c>
      <c r="I972" s="3" t="s">
        <v>22</v>
      </c>
      <c r="J972" s="0" t="str">
        <f aca="false">_xlfn.XLOOKUP(C972,Departments!$A$2:$A$6,Departments!$B$2:$B$6,"Unknown")</f>
        <v>Finance</v>
      </c>
    </row>
    <row r="973" customFormat="false" ht="15" hidden="false" customHeight="false" outlineLevel="0" collapsed="false">
      <c r="A973" s="0" t="s">
        <v>1000</v>
      </c>
      <c r="B973" s="4" t="n">
        <v>45900</v>
      </c>
      <c r="C973" s="0" t="s">
        <v>24</v>
      </c>
      <c r="D973" s="3" t="s">
        <v>28</v>
      </c>
      <c r="E973" s="2" t="n">
        <v>1064</v>
      </c>
      <c r="F973" s="5" t="n">
        <f aca="false">VLOOKUP(D973,Lookup!$A$2:$B$4,2,FALSE())</f>
        <v>0.05</v>
      </c>
      <c r="G973" s="2" t="n">
        <f aca="false">ROUND(E973*F973,2)</f>
        <v>53.2</v>
      </c>
      <c r="H973" s="2" t="n">
        <f aca="false">E973+G973</f>
        <v>1117.2</v>
      </c>
      <c r="I973" s="3" t="s">
        <v>22</v>
      </c>
      <c r="J973" s="0" t="str">
        <f aca="false">_xlfn.XLOOKUP(C973,Departments!$A$2:$A$6,Departments!$B$2:$B$6,"Unknown")</f>
        <v>Quality</v>
      </c>
    </row>
    <row r="974" customFormat="false" ht="15" hidden="false" customHeight="false" outlineLevel="0" collapsed="false">
      <c r="A974" s="0" t="s">
        <v>1001</v>
      </c>
      <c r="B974" s="4" t="n">
        <v>45901</v>
      </c>
      <c r="C974" s="0" t="s">
        <v>27</v>
      </c>
      <c r="D974" s="3" t="s">
        <v>21</v>
      </c>
      <c r="E974" s="2" t="n">
        <v>1101</v>
      </c>
      <c r="F974" s="5" t="n">
        <f aca="false">VLOOKUP(D974,Lookup!$A$2:$B$4,2,FALSE())</f>
        <v>0.1</v>
      </c>
      <c r="G974" s="2" t="n">
        <f aca="false">ROUND(E974*F974,2)</f>
        <v>110.1</v>
      </c>
      <c r="H974" s="2" t="n">
        <f aca="false">E974+G974</f>
        <v>1211.1</v>
      </c>
      <c r="I974" s="3" t="s">
        <v>35</v>
      </c>
      <c r="J974" s="0" t="str">
        <f aca="false">_xlfn.XLOOKUP(C974,Departments!$A$2:$A$6,Departments!$B$2:$B$6,"Unknown")</f>
        <v>Human Resources</v>
      </c>
    </row>
    <row r="975" customFormat="false" ht="15" hidden="false" customHeight="false" outlineLevel="0" collapsed="false">
      <c r="A975" s="0" t="s">
        <v>1002</v>
      </c>
      <c r="B975" s="4" t="n">
        <v>45902</v>
      </c>
      <c r="C975" s="0" t="s">
        <v>30</v>
      </c>
      <c r="D975" s="3" t="s">
        <v>25</v>
      </c>
      <c r="E975" s="2" t="n">
        <v>1138</v>
      </c>
      <c r="F975" s="5" t="n">
        <f aca="false">VLOOKUP(D975,Lookup!$A$2:$B$4,2,FALSE())</f>
        <v>0.15</v>
      </c>
      <c r="G975" s="2" t="n">
        <f aca="false">ROUND(E975*F975,2)</f>
        <v>170.7</v>
      </c>
      <c r="H975" s="2" t="n">
        <f aca="false">E975+G975</f>
        <v>1308.7</v>
      </c>
      <c r="I975" s="3" t="s">
        <v>22</v>
      </c>
      <c r="J975" s="0" t="str">
        <f aca="false">_xlfn.XLOOKUP(C975,Departments!$A$2:$A$6,Departments!$B$2:$B$6,"Unknown")</f>
        <v>Technology</v>
      </c>
    </row>
    <row r="976" customFormat="false" ht="15" hidden="false" customHeight="false" outlineLevel="0" collapsed="false">
      <c r="A976" s="0" t="s">
        <v>1003</v>
      </c>
      <c r="B976" s="4" t="n">
        <v>45903</v>
      </c>
      <c r="C976" s="0" t="s">
        <v>32</v>
      </c>
      <c r="D976" s="3" t="s">
        <v>28</v>
      </c>
      <c r="E976" s="2" t="n">
        <v>1175</v>
      </c>
      <c r="F976" s="5" t="n">
        <f aca="false">VLOOKUP(D976,Lookup!$A$2:$B$4,2,FALSE())</f>
        <v>0.05</v>
      </c>
      <c r="G976" s="2" t="n">
        <f aca="false">ROUND(E976*F976,2)</f>
        <v>58.75</v>
      </c>
      <c r="H976" s="2" t="n">
        <f aca="false">E976+G976</f>
        <v>1233.75</v>
      </c>
      <c r="I976" s="3" t="s">
        <v>22</v>
      </c>
      <c r="J976" s="0" t="str">
        <f aca="false">_xlfn.XLOOKUP(C976,Departments!$A$2:$A$6,Departments!$B$2:$B$6,"Unknown")</f>
        <v>Operations</v>
      </c>
    </row>
    <row r="977" customFormat="false" ht="15" hidden="false" customHeight="false" outlineLevel="0" collapsed="false">
      <c r="A977" s="0" t="s">
        <v>1004</v>
      </c>
      <c r="B977" s="4" t="n">
        <v>45904</v>
      </c>
      <c r="C977" s="0" t="s">
        <v>20</v>
      </c>
      <c r="D977" s="3" t="s">
        <v>21</v>
      </c>
      <c r="E977" s="2" t="n">
        <v>1212</v>
      </c>
      <c r="F977" s="5" t="n">
        <f aca="false">VLOOKUP(D977,Lookup!$A$2:$B$4,2,FALSE())</f>
        <v>0.1</v>
      </c>
      <c r="G977" s="2" t="n">
        <f aca="false">ROUND(E977*F977,2)</f>
        <v>121.2</v>
      </c>
      <c r="H977" s="2" t="n">
        <f aca="false">E977+G977</f>
        <v>1333.2</v>
      </c>
      <c r="I977" s="3" t="s">
        <v>22</v>
      </c>
      <c r="J977" s="0" t="str">
        <f aca="false">_xlfn.XLOOKUP(C977,Departments!$A$2:$A$6,Departments!$B$2:$B$6,"Unknown")</f>
        <v>Finance</v>
      </c>
    </row>
    <row r="978" customFormat="false" ht="15" hidden="false" customHeight="false" outlineLevel="0" collapsed="false">
      <c r="A978" s="0" t="s">
        <v>1005</v>
      </c>
      <c r="B978" s="4" t="n">
        <v>45905</v>
      </c>
      <c r="C978" s="0" t="s">
        <v>24</v>
      </c>
      <c r="D978" s="3" t="s">
        <v>25</v>
      </c>
      <c r="E978" s="2" t="n">
        <v>1249</v>
      </c>
      <c r="F978" s="5" t="n">
        <f aca="false">VLOOKUP(D978,Lookup!$A$2:$B$4,2,FALSE())</f>
        <v>0.15</v>
      </c>
      <c r="G978" s="2" t="n">
        <f aca="false">ROUND(E978*F978,2)</f>
        <v>187.35</v>
      </c>
      <c r="H978" s="2" t="n">
        <f aca="false">E978+G978</f>
        <v>1436.35</v>
      </c>
      <c r="I978" s="3" t="s">
        <v>22</v>
      </c>
      <c r="J978" s="0" t="str">
        <f aca="false">_xlfn.XLOOKUP(C978,Departments!$A$2:$A$6,Departments!$B$2:$B$6,"Unknown")</f>
        <v>Quality</v>
      </c>
    </row>
    <row r="979" customFormat="false" ht="15" hidden="false" customHeight="false" outlineLevel="0" collapsed="false">
      <c r="A979" s="0" t="s">
        <v>1006</v>
      </c>
      <c r="B979" s="4" t="n">
        <v>45906</v>
      </c>
      <c r="C979" s="0" t="s">
        <v>27</v>
      </c>
      <c r="D979" s="3" t="s">
        <v>28</v>
      </c>
      <c r="E979" s="2" t="n">
        <v>1286</v>
      </c>
      <c r="F979" s="5" t="n">
        <f aca="false">VLOOKUP(D979,Lookup!$A$2:$B$4,2,FALSE())</f>
        <v>0.05</v>
      </c>
      <c r="G979" s="2" t="n">
        <f aca="false">ROUND(E979*F979,2)</f>
        <v>64.3</v>
      </c>
      <c r="H979" s="2" t="n">
        <f aca="false">E979+G979</f>
        <v>1350.3</v>
      </c>
      <c r="I979" s="3" t="s">
        <v>22</v>
      </c>
      <c r="J979" s="0" t="str">
        <f aca="false">_xlfn.XLOOKUP(C979,Departments!$A$2:$A$6,Departments!$B$2:$B$6,"Unknown")</f>
        <v>Human Resources</v>
      </c>
    </row>
    <row r="980" customFormat="false" ht="15" hidden="false" customHeight="false" outlineLevel="0" collapsed="false">
      <c r="A980" s="0" t="s">
        <v>1007</v>
      </c>
      <c r="B980" s="4" t="n">
        <v>45907</v>
      </c>
      <c r="C980" s="0" t="s">
        <v>30</v>
      </c>
      <c r="D980" s="3" t="s">
        <v>21</v>
      </c>
      <c r="E980" s="2" t="n">
        <v>1323</v>
      </c>
      <c r="F980" s="5" t="n">
        <f aca="false">VLOOKUP(D980,Lookup!$A$2:$B$4,2,FALSE())</f>
        <v>0.1</v>
      </c>
      <c r="G980" s="2" t="n">
        <f aca="false">ROUND(E980*F980,2)</f>
        <v>132.3</v>
      </c>
      <c r="H980" s="2" t="n">
        <f aca="false">E980+G980</f>
        <v>1455.3</v>
      </c>
      <c r="I980" s="3" t="s">
        <v>22</v>
      </c>
      <c r="J980" s="0" t="str">
        <f aca="false">_xlfn.XLOOKUP(C980,Departments!$A$2:$A$6,Departments!$B$2:$B$6,"Unknown")</f>
        <v>Technology</v>
      </c>
    </row>
    <row r="981" customFormat="false" ht="15" hidden="false" customHeight="false" outlineLevel="0" collapsed="false">
      <c r="A981" s="0" t="s">
        <v>1008</v>
      </c>
      <c r="B981" s="4" t="n">
        <v>45908</v>
      </c>
      <c r="C981" s="0" t="s">
        <v>32</v>
      </c>
      <c r="D981" s="3" t="s">
        <v>25</v>
      </c>
      <c r="E981" s="2" t="n">
        <v>1360</v>
      </c>
      <c r="F981" s="5" t="n">
        <f aca="false">VLOOKUP(D981,Lookup!$A$2:$B$4,2,FALSE())</f>
        <v>0.15</v>
      </c>
      <c r="G981" s="2" t="n">
        <f aca="false">ROUND(E981*F981,2)</f>
        <v>204</v>
      </c>
      <c r="H981" s="2" t="n">
        <f aca="false">E981+G981</f>
        <v>1564</v>
      </c>
      <c r="I981" s="3" t="s">
        <v>35</v>
      </c>
      <c r="J981" s="0" t="str">
        <f aca="false">_xlfn.XLOOKUP(C981,Departments!$A$2:$A$6,Departments!$B$2:$B$6,"Unknown")</f>
        <v>Operations</v>
      </c>
    </row>
    <row r="982" customFormat="false" ht="15" hidden="false" customHeight="false" outlineLevel="0" collapsed="false">
      <c r="A982" s="0" t="s">
        <v>1009</v>
      </c>
      <c r="B982" s="4" t="n">
        <v>45909</v>
      </c>
      <c r="C982" s="0" t="s">
        <v>20</v>
      </c>
      <c r="D982" s="3" t="s">
        <v>28</v>
      </c>
      <c r="E982" s="2" t="n">
        <v>1397</v>
      </c>
      <c r="F982" s="5" t="n">
        <f aca="false">VLOOKUP(D982,Lookup!$A$2:$B$4,2,FALSE())</f>
        <v>0.05</v>
      </c>
      <c r="G982" s="2" t="n">
        <f aca="false">ROUND(E982*F982,2)</f>
        <v>69.85</v>
      </c>
      <c r="H982" s="2" t="n">
        <f aca="false">E982+G982</f>
        <v>1466.85</v>
      </c>
      <c r="I982" s="3" t="s">
        <v>22</v>
      </c>
      <c r="J982" s="0" t="str">
        <f aca="false">_xlfn.XLOOKUP(C982,Departments!$A$2:$A$6,Departments!$B$2:$B$6,"Unknown")</f>
        <v>Finance</v>
      </c>
    </row>
    <row r="983" customFormat="false" ht="15" hidden="false" customHeight="false" outlineLevel="0" collapsed="false">
      <c r="A983" s="0" t="s">
        <v>1010</v>
      </c>
      <c r="B983" s="4" t="n">
        <v>45910</v>
      </c>
      <c r="C983" s="0" t="s">
        <v>24</v>
      </c>
      <c r="D983" s="3" t="s">
        <v>21</v>
      </c>
      <c r="E983" s="2" t="n">
        <v>1434</v>
      </c>
      <c r="F983" s="5" t="n">
        <f aca="false">VLOOKUP(D983,Lookup!$A$2:$B$4,2,FALSE())</f>
        <v>0.1</v>
      </c>
      <c r="G983" s="2" t="n">
        <f aca="false">ROUND(E983*F983,2)</f>
        <v>143.4</v>
      </c>
      <c r="H983" s="2" t="n">
        <f aca="false">E983+G983</f>
        <v>1577.4</v>
      </c>
      <c r="I983" s="3" t="s">
        <v>22</v>
      </c>
      <c r="J983" s="0" t="str">
        <f aca="false">_xlfn.XLOOKUP(C983,Departments!$A$2:$A$6,Departments!$B$2:$B$6,"Unknown")</f>
        <v>Quality</v>
      </c>
    </row>
    <row r="984" customFormat="false" ht="15" hidden="false" customHeight="false" outlineLevel="0" collapsed="false">
      <c r="A984" s="0" t="s">
        <v>1011</v>
      </c>
      <c r="B984" s="4" t="n">
        <v>45911</v>
      </c>
      <c r="C984" s="0" t="s">
        <v>27</v>
      </c>
      <c r="D984" s="3" t="s">
        <v>25</v>
      </c>
      <c r="E984" s="2" t="n">
        <v>1471</v>
      </c>
      <c r="F984" s="5" t="n">
        <f aca="false">VLOOKUP(D984,Lookup!$A$2:$B$4,2,FALSE())</f>
        <v>0.15</v>
      </c>
      <c r="G984" s="2" t="n">
        <f aca="false">ROUND(E984*F984,2)</f>
        <v>220.65</v>
      </c>
      <c r="H984" s="2" t="n">
        <f aca="false">E984+G984</f>
        <v>1691.65</v>
      </c>
      <c r="I984" s="3" t="s">
        <v>22</v>
      </c>
      <c r="J984" s="0" t="str">
        <f aca="false">_xlfn.XLOOKUP(C984,Departments!$A$2:$A$6,Departments!$B$2:$B$6,"Unknown")</f>
        <v>Human Resources</v>
      </c>
    </row>
    <row r="985" customFormat="false" ht="15" hidden="false" customHeight="false" outlineLevel="0" collapsed="false">
      <c r="A985" s="0" t="s">
        <v>1012</v>
      </c>
      <c r="B985" s="4" t="n">
        <v>45912</v>
      </c>
      <c r="C985" s="0" t="s">
        <v>30</v>
      </c>
      <c r="D985" s="3" t="s">
        <v>28</v>
      </c>
      <c r="E985" s="2" t="n">
        <v>1508</v>
      </c>
      <c r="F985" s="5" t="n">
        <f aca="false">VLOOKUP(D985,Lookup!$A$2:$B$4,2,FALSE())</f>
        <v>0.05</v>
      </c>
      <c r="G985" s="2" t="n">
        <f aca="false">ROUND(E985*F985,2)</f>
        <v>75.4</v>
      </c>
      <c r="H985" s="2" t="n">
        <f aca="false">E985+G985</f>
        <v>1583.4</v>
      </c>
      <c r="I985" s="3" t="s">
        <v>22</v>
      </c>
      <c r="J985" s="0" t="str">
        <f aca="false">_xlfn.XLOOKUP(C985,Departments!$A$2:$A$6,Departments!$B$2:$B$6,"Unknown")</f>
        <v>Technology</v>
      </c>
    </row>
    <row r="986" customFormat="false" ht="15" hidden="false" customHeight="false" outlineLevel="0" collapsed="false">
      <c r="A986" s="0" t="s">
        <v>1013</v>
      </c>
      <c r="B986" s="4" t="n">
        <v>45913</v>
      </c>
      <c r="C986" s="0" t="s">
        <v>32</v>
      </c>
      <c r="D986" s="3" t="s">
        <v>21</v>
      </c>
      <c r="E986" s="2" t="n">
        <v>1545</v>
      </c>
      <c r="F986" s="5" t="n">
        <f aca="false">VLOOKUP(D986,Lookup!$A$2:$B$4,2,FALSE())</f>
        <v>0.1</v>
      </c>
      <c r="G986" s="2" t="n">
        <f aca="false">ROUND(E986*F986,2)</f>
        <v>154.5</v>
      </c>
      <c r="H986" s="2" t="n">
        <f aca="false">E986+G986</f>
        <v>1699.5</v>
      </c>
      <c r="I986" s="3" t="s">
        <v>22</v>
      </c>
      <c r="J986" s="0" t="str">
        <f aca="false">_xlfn.XLOOKUP(C986,Departments!$A$2:$A$6,Departments!$B$2:$B$6,"Unknown")</f>
        <v>Operations</v>
      </c>
    </row>
    <row r="987" customFormat="false" ht="15" hidden="false" customHeight="false" outlineLevel="0" collapsed="false">
      <c r="A987" s="0" t="s">
        <v>1014</v>
      </c>
      <c r="B987" s="4" t="n">
        <v>45914</v>
      </c>
      <c r="C987" s="0" t="s">
        <v>20</v>
      </c>
      <c r="D987" s="3" t="s">
        <v>25</v>
      </c>
      <c r="E987" s="2" t="n">
        <v>1582</v>
      </c>
      <c r="F987" s="5" t="n">
        <f aca="false">VLOOKUP(D987,Lookup!$A$2:$B$4,2,FALSE())</f>
        <v>0.15</v>
      </c>
      <c r="G987" s="2" t="n">
        <f aca="false">ROUND(E987*F987,2)</f>
        <v>237.3</v>
      </c>
      <c r="H987" s="2" t="n">
        <f aca="false">E987+G987</f>
        <v>1819.3</v>
      </c>
      <c r="I987" s="3" t="s">
        <v>22</v>
      </c>
      <c r="J987" s="0" t="str">
        <f aca="false">_xlfn.XLOOKUP(C987,Departments!$A$2:$A$6,Departments!$B$2:$B$6,"Unknown")</f>
        <v>Finance</v>
      </c>
    </row>
    <row r="988" customFormat="false" ht="15" hidden="false" customHeight="false" outlineLevel="0" collapsed="false">
      <c r="A988" s="0" t="s">
        <v>1015</v>
      </c>
      <c r="B988" s="4" t="n">
        <v>45915</v>
      </c>
      <c r="C988" s="0" t="s">
        <v>24</v>
      </c>
      <c r="D988" s="3" t="s">
        <v>28</v>
      </c>
      <c r="E988" s="2" t="n">
        <v>1619</v>
      </c>
      <c r="F988" s="5" t="n">
        <f aca="false">VLOOKUP(D988,Lookup!$A$2:$B$4,2,FALSE())</f>
        <v>0.05</v>
      </c>
      <c r="G988" s="2" t="n">
        <f aca="false">ROUND(E988*F988,2)</f>
        <v>80.95</v>
      </c>
      <c r="H988" s="2" t="n">
        <f aca="false">E988+G988</f>
        <v>1699.95</v>
      </c>
      <c r="I988" s="3" t="s">
        <v>35</v>
      </c>
      <c r="J988" s="0" t="str">
        <f aca="false">_xlfn.XLOOKUP(C988,Departments!$A$2:$A$6,Departments!$B$2:$B$6,"Unknown")</f>
        <v>Quality</v>
      </c>
    </row>
    <row r="989" customFormat="false" ht="15" hidden="false" customHeight="false" outlineLevel="0" collapsed="false">
      <c r="A989" s="0" t="s">
        <v>1016</v>
      </c>
      <c r="B989" s="4" t="n">
        <v>45916</v>
      </c>
      <c r="C989" s="0" t="s">
        <v>27</v>
      </c>
      <c r="D989" s="3" t="s">
        <v>21</v>
      </c>
      <c r="E989" s="2" t="n">
        <v>1656</v>
      </c>
      <c r="F989" s="5" t="n">
        <f aca="false">VLOOKUP(D989,Lookup!$A$2:$B$4,2,FALSE())</f>
        <v>0.1</v>
      </c>
      <c r="G989" s="2" t="n">
        <f aca="false">ROUND(E989*F989,2)</f>
        <v>165.6</v>
      </c>
      <c r="H989" s="2" t="n">
        <f aca="false">E989+G989</f>
        <v>1821.6</v>
      </c>
      <c r="I989" s="3" t="s">
        <v>22</v>
      </c>
      <c r="J989" s="0" t="str">
        <f aca="false">_xlfn.XLOOKUP(C989,Departments!$A$2:$A$6,Departments!$B$2:$B$6,"Unknown")</f>
        <v>Human Resources</v>
      </c>
    </row>
    <row r="990" customFormat="false" ht="15" hidden="false" customHeight="false" outlineLevel="0" collapsed="false">
      <c r="A990" s="0" t="s">
        <v>1017</v>
      </c>
      <c r="B990" s="4" t="n">
        <v>45917</v>
      </c>
      <c r="C990" s="0" t="s">
        <v>30</v>
      </c>
      <c r="D990" s="3" t="s">
        <v>25</v>
      </c>
      <c r="E990" s="2" t="n">
        <v>1693</v>
      </c>
      <c r="F990" s="5" t="n">
        <f aca="false">VLOOKUP(D990,Lookup!$A$2:$B$4,2,FALSE())</f>
        <v>0.15</v>
      </c>
      <c r="G990" s="2" t="n">
        <f aca="false">ROUND(E990*F990,2)</f>
        <v>253.95</v>
      </c>
      <c r="H990" s="2" t="n">
        <f aca="false">E990+G990</f>
        <v>1946.95</v>
      </c>
      <c r="I990" s="3" t="s">
        <v>22</v>
      </c>
      <c r="J990" s="0" t="str">
        <f aca="false">_xlfn.XLOOKUP(C990,Departments!$A$2:$A$6,Departments!$B$2:$B$6,"Unknown")</f>
        <v>Technology</v>
      </c>
    </row>
    <row r="991" customFormat="false" ht="15" hidden="false" customHeight="false" outlineLevel="0" collapsed="false">
      <c r="A991" s="0" t="s">
        <v>1018</v>
      </c>
      <c r="B991" s="4" t="n">
        <v>45918</v>
      </c>
      <c r="C991" s="0" t="s">
        <v>32</v>
      </c>
      <c r="D991" s="3" t="s">
        <v>28</v>
      </c>
      <c r="E991" s="2" t="n">
        <v>1730</v>
      </c>
      <c r="F991" s="5" t="n">
        <f aca="false">VLOOKUP(D991,Lookup!$A$2:$B$4,2,FALSE())</f>
        <v>0.05</v>
      </c>
      <c r="G991" s="2" t="n">
        <f aca="false">ROUND(E991*F991,2)</f>
        <v>86.5</v>
      </c>
      <c r="H991" s="2" t="n">
        <f aca="false">E991+G991</f>
        <v>1816.5</v>
      </c>
      <c r="I991" s="3" t="s">
        <v>22</v>
      </c>
      <c r="J991" s="0" t="str">
        <f aca="false">_xlfn.XLOOKUP(C991,Departments!$A$2:$A$6,Departments!$B$2:$B$6,"Unknown")</f>
        <v>Operations</v>
      </c>
    </row>
    <row r="992" customFormat="false" ht="15" hidden="false" customHeight="false" outlineLevel="0" collapsed="false">
      <c r="A992" s="0" t="s">
        <v>1019</v>
      </c>
      <c r="B992" s="4" t="n">
        <v>45919</v>
      </c>
      <c r="C992" s="0" t="s">
        <v>20</v>
      </c>
      <c r="D992" s="3" t="s">
        <v>21</v>
      </c>
      <c r="E992" s="2" t="n">
        <v>1767</v>
      </c>
      <c r="F992" s="5" t="n">
        <f aca="false">VLOOKUP(D992,Lookup!$A$2:$B$4,2,FALSE())</f>
        <v>0.1</v>
      </c>
      <c r="G992" s="2" t="n">
        <f aca="false">ROUND(E992*F992,2)</f>
        <v>176.7</v>
      </c>
      <c r="H992" s="2" t="n">
        <f aca="false">E992+G992</f>
        <v>1943.7</v>
      </c>
      <c r="I992" s="3" t="s">
        <v>22</v>
      </c>
      <c r="J992" s="0" t="str">
        <f aca="false">_xlfn.XLOOKUP(C992,Departments!$A$2:$A$6,Departments!$B$2:$B$6,"Unknown")</f>
        <v>Finance</v>
      </c>
    </row>
    <row r="993" customFormat="false" ht="15" hidden="false" customHeight="false" outlineLevel="0" collapsed="false">
      <c r="A993" s="0" t="s">
        <v>1020</v>
      </c>
      <c r="B993" s="4" t="n">
        <v>45920</v>
      </c>
      <c r="C993" s="0" t="s">
        <v>24</v>
      </c>
      <c r="D993" s="3" t="s">
        <v>25</v>
      </c>
      <c r="E993" s="2" t="n">
        <v>1804</v>
      </c>
      <c r="F993" s="5" t="n">
        <f aca="false">VLOOKUP(D993,Lookup!$A$2:$B$4,2,FALSE())</f>
        <v>0.15</v>
      </c>
      <c r="G993" s="2" t="n">
        <f aca="false">ROUND(E993*F993,2)</f>
        <v>270.6</v>
      </c>
      <c r="H993" s="2" t="n">
        <f aca="false">E993+G993</f>
        <v>2074.6</v>
      </c>
      <c r="I993" s="3" t="s">
        <v>22</v>
      </c>
      <c r="J993" s="0" t="str">
        <f aca="false">_xlfn.XLOOKUP(C993,Departments!$A$2:$A$6,Departments!$B$2:$B$6,"Unknown")</f>
        <v>Quality</v>
      </c>
    </row>
    <row r="994" customFormat="false" ht="15" hidden="false" customHeight="false" outlineLevel="0" collapsed="false">
      <c r="A994" s="0" t="s">
        <v>1021</v>
      </c>
      <c r="B994" s="4" t="n">
        <v>45921</v>
      </c>
      <c r="C994" s="0" t="s">
        <v>27</v>
      </c>
      <c r="D994" s="3" t="s">
        <v>28</v>
      </c>
      <c r="E994" s="2" t="n">
        <v>1841</v>
      </c>
      <c r="F994" s="5" t="n">
        <f aca="false">VLOOKUP(D994,Lookup!$A$2:$B$4,2,FALSE())</f>
        <v>0.05</v>
      </c>
      <c r="G994" s="2" t="n">
        <f aca="false">ROUND(E994*F994,2)</f>
        <v>92.05</v>
      </c>
      <c r="H994" s="2" t="n">
        <f aca="false">E994+G994</f>
        <v>1933.05</v>
      </c>
      <c r="I994" s="3" t="s">
        <v>22</v>
      </c>
      <c r="J994" s="0" t="str">
        <f aca="false">_xlfn.XLOOKUP(C994,Departments!$A$2:$A$6,Departments!$B$2:$B$6,"Unknown")</f>
        <v>Human Resources</v>
      </c>
    </row>
    <row r="995" customFormat="false" ht="15" hidden="false" customHeight="false" outlineLevel="0" collapsed="false">
      <c r="A995" s="0" t="s">
        <v>1022</v>
      </c>
      <c r="B995" s="4" t="n">
        <v>45922</v>
      </c>
      <c r="C995" s="0" t="s">
        <v>30</v>
      </c>
      <c r="D995" s="3" t="s">
        <v>21</v>
      </c>
      <c r="E995" s="2" t="n">
        <v>1878</v>
      </c>
      <c r="F995" s="5" t="n">
        <f aca="false">VLOOKUP(D995,Lookup!$A$2:$B$4,2,FALSE())</f>
        <v>0.1</v>
      </c>
      <c r="G995" s="2" t="n">
        <f aca="false">ROUND(E995*F995,2)</f>
        <v>187.8</v>
      </c>
      <c r="H995" s="2" t="n">
        <f aca="false">E995+G995</f>
        <v>2065.8</v>
      </c>
      <c r="I995" s="3" t="s">
        <v>35</v>
      </c>
      <c r="J995" s="0" t="str">
        <f aca="false">_xlfn.XLOOKUP(C995,Departments!$A$2:$A$6,Departments!$B$2:$B$6,"Unknown")</f>
        <v>Technology</v>
      </c>
    </row>
    <row r="996" customFormat="false" ht="15" hidden="false" customHeight="false" outlineLevel="0" collapsed="false">
      <c r="A996" s="0" t="s">
        <v>1023</v>
      </c>
      <c r="B996" s="4" t="n">
        <v>45923</v>
      </c>
      <c r="C996" s="0" t="s">
        <v>32</v>
      </c>
      <c r="D996" s="3" t="s">
        <v>25</v>
      </c>
      <c r="E996" s="2" t="n">
        <v>1915</v>
      </c>
      <c r="F996" s="5" t="n">
        <f aca="false">VLOOKUP(D996,Lookup!$A$2:$B$4,2,FALSE())</f>
        <v>0.15</v>
      </c>
      <c r="G996" s="2" t="n">
        <f aca="false">ROUND(E996*F996,2)</f>
        <v>287.25</v>
      </c>
      <c r="H996" s="2" t="n">
        <f aca="false">E996+G996</f>
        <v>2202.25</v>
      </c>
      <c r="I996" s="3" t="s">
        <v>22</v>
      </c>
      <c r="J996" s="0" t="str">
        <f aca="false">_xlfn.XLOOKUP(C996,Departments!$A$2:$A$6,Departments!$B$2:$B$6,"Unknown")</f>
        <v>Operations</v>
      </c>
    </row>
    <row r="997" customFormat="false" ht="15" hidden="false" customHeight="false" outlineLevel="0" collapsed="false">
      <c r="A997" s="0" t="s">
        <v>1024</v>
      </c>
      <c r="B997" s="4" t="n">
        <v>45924</v>
      </c>
      <c r="C997" s="0" t="s">
        <v>20</v>
      </c>
      <c r="D997" s="3" t="s">
        <v>28</v>
      </c>
      <c r="E997" s="2" t="n">
        <v>1952</v>
      </c>
      <c r="F997" s="5" t="n">
        <f aca="false">VLOOKUP(D997,Lookup!$A$2:$B$4,2,FALSE())</f>
        <v>0.05</v>
      </c>
      <c r="G997" s="2" t="n">
        <f aca="false">ROUND(E997*F997,2)</f>
        <v>97.6</v>
      </c>
      <c r="H997" s="2" t="n">
        <f aca="false">E997+G997</f>
        <v>2049.6</v>
      </c>
      <c r="I997" s="3" t="s">
        <v>22</v>
      </c>
      <c r="J997" s="0" t="str">
        <f aca="false">_xlfn.XLOOKUP(C997,Departments!$A$2:$A$6,Departments!$B$2:$B$6,"Unknown")</f>
        <v>Finance</v>
      </c>
    </row>
    <row r="998" customFormat="false" ht="15" hidden="false" customHeight="false" outlineLevel="0" collapsed="false">
      <c r="A998" s="0" t="s">
        <v>1025</v>
      </c>
      <c r="B998" s="4" t="n">
        <v>45925</v>
      </c>
      <c r="C998" s="0" t="s">
        <v>24</v>
      </c>
      <c r="D998" s="3" t="s">
        <v>21</v>
      </c>
      <c r="E998" s="2" t="n">
        <v>1989</v>
      </c>
      <c r="F998" s="5" t="n">
        <f aca="false">VLOOKUP(D998,Lookup!$A$2:$B$4,2,FALSE())</f>
        <v>0.1</v>
      </c>
      <c r="G998" s="2" t="n">
        <f aca="false">ROUND(E998*F998,2)</f>
        <v>198.9</v>
      </c>
      <c r="H998" s="2" t="n">
        <f aca="false">E998+G998</f>
        <v>2187.9</v>
      </c>
      <c r="I998" s="3" t="s">
        <v>22</v>
      </c>
      <c r="J998" s="0" t="str">
        <f aca="false">_xlfn.XLOOKUP(C998,Departments!$A$2:$A$6,Departments!$B$2:$B$6,"Unknown")</f>
        <v>Quality</v>
      </c>
    </row>
    <row r="999" customFormat="false" ht="15" hidden="false" customHeight="false" outlineLevel="0" collapsed="false">
      <c r="A999" s="0" t="s">
        <v>1026</v>
      </c>
      <c r="B999" s="4" t="n">
        <v>45926</v>
      </c>
      <c r="C999" s="0" t="s">
        <v>27</v>
      </c>
      <c r="D999" s="3" t="s">
        <v>25</v>
      </c>
      <c r="E999" s="2" t="n">
        <v>2026</v>
      </c>
      <c r="F999" s="5" t="n">
        <f aca="false">VLOOKUP(D999,Lookup!$A$2:$B$4,2,FALSE())</f>
        <v>0.15</v>
      </c>
      <c r="G999" s="2" t="n">
        <f aca="false">ROUND(E999*F999,2)</f>
        <v>303.9</v>
      </c>
      <c r="H999" s="2" t="n">
        <f aca="false">E999+G999</f>
        <v>2329.9</v>
      </c>
      <c r="I999" s="3" t="s">
        <v>22</v>
      </c>
      <c r="J999" s="0" t="str">
        <f aca="false">_xlfn.XLOOKUP(C999,Departments!$A$2:$A$6,Departments!$B$2:$B$6,"Unknown")</f>
        <v>Human Resources</v>
      </c>
    </row>
    <row r="1000" customFormat="false" ht="15" hidden="false" customHeight="false" outlineLevel="0" collapsed="false">
      <c r="A1000" s="0" t="s">
        <v>1027</v>
      </c>
      <c r="B1000" s="4" t="n">
        <v>45927</v>
      </c>
      <c r="C1000" s="0" t="s">
        <v>30</v>
      </c>
      <c r="D1000" s="3" t="s">
        <v>28</v>
      </c>
      <c r="E1000" s="2" t="n">
        <v>2063</v>
      </c>
      <c r="F1000" s="5" t="n">
        <f aca="false">VLOOKUP(D1000,Lookup!$A$2:$B$4,2,FALSE())</f>
        <v>0.05</v>
      </c>
      <c r="G1000" s="2" t="n">
        <f aca="false">ROUND(E1000*F1000,2)</f>
        <v>103.15</v>
      </c>
      <c r="H1000" s="2" t="n">
        <f aca="false">E1000+G1000</f>
        <v>2166.15</v>
      </c>
      <c r="I1000" s="3" t="s">
        <v>22</v>
      </c>
      <c r="J1000" s="0" t="str">
        <f aca="false">_xlfn.XLOOKUP(C1000,Departments!$A$2:$A$6,Departments!$B$2:$B$6,"Unknown")</f>
        <v>Technology</v>
      </c>
    </row>
    <row r="1001" customFormat="false" ht="15" hidden="false" customHeight="false" outlineLevel="0" collapsed="false">
      <c r="A1001" s="0" t="s">
        <v>1028</v>
      </c>
      <c r="B1001" s="4" t="n">
        <v>45928</v>
      </c>
      <c r="C1001" s="0" t="s">
        <v>32</v>
      </c>
      <c r="D1001" s="3" t="s">
        <v>21</v>
      </c>
      <c r="E1001" s="2" t="n">
        <v>2100</v>
      </c>
      <c r="F1001" s="5" t="n">
        <f aca="false">VLOOKUP(D1001,Lookup!$A$2:$B$4,2,FALSE())</f>
        <v>0.1</v>
      </c>
      <c r="G1001" s="2" t="n">
        <f aca="false">ROUND(E1001*F1001,2)</f>
        <v>210</v>
      </c>
      <c r="H1001" s="2" t="n">
        <f aca="false">E1001+G1001</f>
        <v>2310</v>
      </c>
      <c r="I1001" s="3" t="s">
        <v>22</v>
      </c>
      <c r="J1001" s="0" t="str">
        <f aca="false">_xlfn.XLOOKUP(C1001,Departments!$A$2:$A$6,Departments!$B$2:$B$6,"Unknown")</f>
        <v>Operations</v>
      </c>
    </row>
    <row r="1002" customFormat="false" ht="15" hidden="false" customHeight="false" outlineLevel="0" collapsed="false">
      <c r="A1002" s="0" t="s">
        <v>1029</v>
      </c>
      <c r="B1002" s="4" t="n">
        <v>45929</v>
      </c>
      <c r="C1002" s="0" t="s">
        <v>20</v>
      </c>
      <c r="D1002" s="3" t="s">
        <v>25</v>
      </c>
      <c r="E1002" s="2" t="n">
        <v>2137</v>
      </c>
      <c r="F1002" s="5" t="n">
        <f aca="false">VLOOKUP(D1002,Lookup!$A$2:$B$4,2,FALSE())</f>
        <v>0.15</v>
      </c>
      <c r="G1002" s="2" t="n">
        <f aca="false">ROUND(E1002*F1002,2)</f>
        <v>320.55</v>
      </c>
      <c r="H1002" s="2" t="n">
        <f aca="false">E1002+G1002</f>
        <v>2457.55</v>
      </c>
      <c r="I1002" s="3" t="s">
        <v>35</v>
      </c>
      <c r="J1002" s="0" t="str">
        <f aca="false">_xlfn.XLOOKUP(C1002,Departments!$A$2:$A$6,Departments!$B$2:$B$6,"Unknown")</f>
        <v>Finance</v>
      </c>
    </row>
    <row r="1003" customFormat="false" ht="15" hidden="false" customHeight="false" outlineLevel="0" collapsed="false">
      <c r="A1003" s="0" t="s">
        <v>1030</v>
      </c>
      <c r="B1003" s="4" t="n">
        <v>45930</v>
      </c>
      <c r="C1003" s="0" t="s">
        <v>24</v>
      </c>
      <c r="D1003" s="3" t="s">
        <v>28</v>
      </c>
      <c r="E1003" s="2" t="n">
        <v>2174</v>
      </c>
      <c r="F1003" s="5" t="n">
        <f aca="false">VLOOKUP(D1003,Lookup!$A$2:$B$4,2,FALSE())</f>
        <v>0.05</v>
      </c>
      <c r="G1003" s="2" t="n">
        <f aca="false">ROUND(E1003*F1003,2)</f>
        <v>108.7</v>
      </c>
      <c r="H1003" s="2" t="n">
        <f aca="false">E1003+G1003</f>
        <v>2282.7</v>
      </c>
      <c r="I1003" s="3" t="s">
        <v>22</v>
      </c>
      <c r="J1003" s="0" t="str">
        <f aca="false">_xlfn.XLOOKUP(C1003,Departments!$A$2:$A$6,Departments!$B$2:$B$6,"Unknown")</f>
        <v>Quality</v>
      </c>
    </row>
    <row r="1004" customFormat="false" ht="15" hidden="false" customHeight="false" outlineLevel="0" collapsed="false">
      <c r="A1004" s="0" t="s">
        <v>1031</v>
      </c>
      <c r="B1004" s="4" t="n">
        <v>45931</v>
      </c>
      <c r="C1004" s="0" t="s">
        <v>27</v>
      </c>
      <c r="D1004" s="3" t="s">
        <v>21</v>
      </c>
      <c r="E1004" s="2" t="n">
        <v>2211</v>
      </c>
      <c r="F1004" s="5" t="n">
        <f aca="false">VLOOKUP(D1004,Lookup!$A$2:$B$4,2,FALSE())</f>
        <v>0.1</v>
      </c>
      <c r="G1004" s="2" t="n">
        <f aca="false">ROUND(E1004*F1004,2)</f>
        <v>221.1</v>
      </c>
      <c r="H1004" s="2" t="n">
        <f aca="false">E1004+G1004</f>
        <v>2432.1</v>
      </c>
      <c r="I1004" s="3" t="s">
        <v>22</v>
      </c>
      <c r="J1004" s="0" t="str">
        <f aca="false">_xlfn.XLOOKUP(C1004,Departments!$A$2:$A$6,Departments!$B$2:$B$6,"Unknown")</f>
        <v>Human Resources</v>
      </c>
    </row>
    <row r="1005" customFormat="false" ht="15" hidden="false" customHeight="false" outlineLevel="0" collapsed="false">
      <c r="A1005" s="0" t="s">
        <v>1032</v>
      </c>
      <c r="B1005" s="4" t="n">
        <v>45932</v>
      </c>
      <c r="C1005" s="0" t="s">
        <v>30</v>
      </c>
      <c r="D1005" s="3" t="s">
        <v>25</v>
      </c>
      <c r="E1005" s="2" t="n">
        <v>2248</v>
      </c>
      <c r="F1005" s="5" t="n">
        <f aca="false">VLOOKUP(D1005,Lookup!$A$2:$B$4,2,FALSE())</f>
        <v>0.15</v>
      </c>
      <c r="G1005" s="2" t="n">
        <f aca="false">ROUND(E1005*F1005,2)</f>
        <v>337.2</v>
      </c>
      <c r="H1005" s="2" t="n">
        <f aca="false">E1005+G1005</f>
        <v>2585.2</v>
      </c>
      <c r="I1005" s="3" t="s">
        <v>22</v>
      </c>
      <c r="J1005" s="0" t="str">
        <f aca="false">_xlfn.XLOOKUP(C1005,Departments!$A$2:$A$6,Departments!$B$2:$B$6,"Unknown")</f>
        <v>Technology</v>
      </c>
    </row>
    <row r="1006" customFormat="false" ht="15" hidden="false" customHeight="false" outlineLevel="0" collapsed="false">
      <c r="A1006" s="0" t="s">
        <v>1033</v>
      </c>
      <c r="B1006" s="4" t="n">
        <v>45933</v>
      </c>
      <c r="C1006" s="0" t="s">
        <v>32</v>
      </c>
      <c r="D1006" s="3" t="s">
        <v>28</v>
      </c>
      <c r="E1006" s="2" t="n">
        <v>2285</v>
      </c>
      <c r="F1006" s="5" t="n">
        <f aca="false">VLOOKUP(D1006,Lookup!$A$2:$B$4,2,FALSE())</f>
        <v>0.05</v>
      </c>
      <c r="G1006" s="2" t="n">
        <f aca="false">ROUND(E1006*F1006,2)</f>
        <v>114.25</v>
      </c>
      <c r="H1006" s="2" t="n">
        <f aca="false">E1006+G1006</f>
        <v>2399.25</v>
      </c>
      <c r="I1006" s="3" t="s">
        <v>22</v>
      </c>
      <c r="J1006" s="0" t="str">
        <f aca="false">_xlfn.XLOOKUP(C1006,Departments!$A$2:$A$6,Departments!$B$2:$B$6,"Unknown")</f>
        <v>Operations</v>
      </c>
    </row>
    <row r="1007" customFormat="false" ht="15" hidden="false" customHeight="false" outlineLevel="0" collapsed="false">
      <c r="A1007" s="0" t="s">
        <v>1034</v>
      </c>
      <c r="B1007" s="4" t="n">
        <v>45934</v>
      </c>
      <c r="C1007" s="0" t="s">
        <v>20</v>
      </c>
      <c r="D1007" s="3" t="s">
        <v>21</v>
      </c>
      <c r="E1007" s="2" t="n">
        <v>2322</v>
      </c>
      <c r="F1007" s="5" t="n">
        <f aca="false">VLOOKUP(D1007,Lookup!$A$2:$B$4,2,FALSE())</f>
        <v>0.1</v>
      </c>
      <c r="G1007" s="2" t="n">
        <f aca="false">ROUND(E1007*F1007,2)</f>
        <v>232.2</v>
      </c>
      <c r="H1007" s="2" t="n">
        <f aca="false">E1007+G1007</f>
        <v>2554.2</v>
      </c>
      <c r="I1007" s="3" t="s">
        <v>22</v>
      </c>
      <c r="J1007" s="0" t="str">
        <f aca="false">_xlfn.XLOOKUP(C1007,Departments!$A$2:$A$6,Departments!$B$2:$B$6,"Unknown")</f>
        <v>Finance</v>
      </c>
    </row>
    <row r="1008" customFormat="false" ht="15" hidden="false" customHeight="false" outlineLevel="0" collapsed="false">
      <c r="A1008" s="0" t="s">
        <v>1035</v>
      </c>
      <c r="B1008" s="4" t="n">
        <v>45935</v>
      </c>
      <c r="C1008" s="0" t="s">
        <v>24</v>
      </c>
      <c r="D1008" s="3" t="s">
        <v>25</v>
      </c>
      <c r="E1008" s="2" t="n">
        <v>2359</v>
      </c>
      <c r="F1008" s="5" t="n">
        <f aca="false">VLOOKUP(D1008,Lookup!$A$2:$B$4,2,FALSE())</f>
        <v>0.15</v>
      </c>
      <c r="G1008" s="2" t="n">
        <f aca="false">ROUND(E1008*F1008,2)</f>
        <v>353.85</v>
      </c>
      <c r="H1008" s="2" t="n">
        <f aca="false">E1008+G1008</f>
        <v>2712.85</v>
      </c>
      <c r="I1008" s="3" t="s">
        <v>22</v>
      </c>
      <c r="J1008" s="0" t="str">
        <f aca="false">_xlfn.XLOOKUP(C1008,Departments!$A$2:$A$6,Departments!$B$2:$B$6,"Unknown")</f>
        <v>Quality</v>
      </c>
    </row>
    <row r="1009" customFormat="false" ht="15" hidden="false" customHeight="false" outlineLevel="0" collapsed="false">
      <c r="A1009" s="0" t="s">
        <v>1036</v>
      </c>
      <c r="B1009" s="4" t="n">
        <v>45936</v>
      </c>
      <c r="C1009" s="0" t="s">
        <v>27</v>
      </c>
      <c r="D1009" s="3" t="s">
        <v>28</v>
      </c>
      <c r="E1009" s="2" t="n">
        <v>2396</v>
      </c>
      <c r="F1009" s="5" t="n">
        <f aca="false">VLOOKUP(D1009,Lookup!$A$2:$B$4,2,FALSE())</f>
        <v>0.05</v>
      </c>
      <c r="G1009" s="2" t="n">
        <f aca="false">ROUND(E1009*F1009,2)</f>
        <v>119.8</v>
      </c>
      <c r="H1009" s="2" t="n">
        <f aca="false">E1009+G1009</f>
        <v>2515.8</v>
      </c>
      <c r="I1009" s="3" t="s">
        <v>35</v>
      </c>
      <c r="J1009" s="0" t="str">
        <f aca="false">_xlfn.XLOOKUP(C1009,Departments!$A$2:$A$6,Departments!$B$2:$B$6,"Unknown")</f>
        <v>Human Resources</v>
      </c>
    </row>
    <row r="1010" customFormat="false" ht="15" hidden="false" customHeight="false" outlineLevel="0" collapsed="false">
      <c r="A1010" s="0" t="s">
        <v>1037</v>
      </c>
      <c r="B1010" s="4" t="n">
        <v>45937</v>
      </c>
      <c r="C1010" s="0" t="s">
        <v>30</v>
      </c>
      <c r="D1010" s="3" t="s">
        <v>21</v>
      </c>
      <c r="E1010" s="2" t="n">
        <v>2433</v>
      </c>
      <c r="F1010" s="5" t="n">
        <f aca="false">VLOOKUP(D1010,Lookup!$A$2:$B$4,2,FALSE())</f>
        <v>0.1</v>
      </c>
      <c r="G1010" s="2" t="n">
        <f aca="false">ROUND(E1010*F1010,2)</f>
        <v>243.3</v>
      </c>
      <c r="H1010" s="2" t="n">
        <f aca="false">E1010+G1010</f>
        <v>2676.3</v>
      </c>
      <c r="I1010" s="3" t="s">
        <v>22</v>
      </c>
      <c r="J1010" s="0" t="str">
        <f aca="false">_xlfn.XLOOKUP(C1010,Departments!$A$2:$A$6,Departments!$B$2:$B$6,"Unknown")</f>
        <v>Technology</v>
      </c>
    </row>
    <row r="1011" customFormat="false" ht="15" hidden="false" customHeight="false" outlineLevel="0" collapsed="false">
      <c r="A1011" s="0" t="s">
        <v>1038</v>
      </c>
      <c r="B1011" s="4" t="n">
        <v>45938</v>
      </c>
      <c r="C1011" s="0" t="s">
        <v>32</v>
      </c>
      <c r="D1011" s="3" t="s">
        <v>25</v>
      </c>
      <c r="E1011" s="2" t="n">
        <v>2470</v>
      </c>
      <c r="F1011" s="5" t="n">
        <f aca="false">VLOOKUP(D1011,Lookup!$A$2:$B$4,2,FALSE())</f>
        <v>0.15</v>
      </c>
      <c r="G1011" s="2" t="n">
        <f aca="false">ROUND(E1011*F1011,2)</f>
        <v>370.5</v>
      </c>
      <c r="H1011" s="2" t="n">
        <f aca="false">E1011+G1011</f>
        <v>2840.5</v>
      </c>
      <c r="I1011" s="3" t="s">
        <v>22</v>
      </c>
      <c r="J1011" s="0" t="str">
        <f aca="false">_xlfn.XLOOKUP(C1011,Departments!$A$2:$A$6,Departments!$B$2:$B$6,"Unknown")</f>
        <v>Operations</v>
      </c>
    </row>
    <row r="1012" customFormat="false" ht="15" hidden="false" customHeight="false" outlineLevel="0" collapsed="false">
      <c r="A1012" s="0" t="s">
        <v>1039</v>
      </c>
      <c r="B1012" s="4" t="n">
        <v>45939</v>
      </c>
      <c r="C1012" s="0" t="s">
        <v>20</v>
      </c>
      <c r="D1012" s="3" t="s">
        <v>28</v>
      </c>
      <c r="E1012" s="2" t="n">
        <v>2507</v>
      </c>
      <c r="F1012" s="5" t="n">
        <f aca="false">VLOOKUP(D1012,Lookup!$A$2:$B$4,2,FALSE())</f>
        <v>0.05</v>
      </c>
      <c r="G1012" s="2" t="n">
        <f aca="false">ROUND(E1012*F1012,2)</f>
        <v>125.35</v>
      </c>
      <c r="H1012" s="2" t="n">
        <f aca="false">E1012+G1012</f>
        <v>2632.35</v>
      </c>
      <c r="I1012" s="3" t="s">
        <v>22</v>
      </c>
      <c r="J1012" s="0" t="str">
        <f aca="false">_xlfn.XLOOKUP(C1012,Departments!$A$2:$A$6,Departments!$B$2:$B$6,"Unknown")</f>
        <v>Finance</v>
      </c>
    </row>
    <row r="1013" customFormat="false" ht="15" hidden="false" customHeight="false" outlineLevel="0" collapsed="false">
      <c r="A1013" s="0" t="s">
        <v>1040</v>
      </c>
      <c r="B1013" s="4" t="n">
        <v>45940</v>
      </c>
      <c r="C1013" s="0" t="s">
        <v>24</v>
      </c>
      <c r="D1013" s="3" t="s">
        <v>21</v>
      </c>
      <c r="E1013" s="2" t="n">
        <v>2544</v>
      </c>
      <c r="F1013" s="5" t="n">
        <f aca="false">VLOOKUP(D1013,Lookup!$A$2:$B$4,2,FALSE())</f>
        <v>0.1</v>
      </c>
      <c r="G1013" s="2" t="n">
        <f aca="false">ROUND(E1013*F1013,2)</f>
        <v>254.4</v>
      </c>
      <c r="H1013" s="2" t="n">
        <f aca="false">E1013+G1013</f>
        <v>2798.4</v>
      </c>
      <c r="I1013" s="3" t="s">
        <v>22</v>
      </c>
      <c r="J1013" s="0" t="str">
        <f aca="false">_xlfn.XLOOKUP(C1013,Departments!$A$2:$A$6,Departments!$B$2:$B$6,"Unknown")</f>
        <v>Quality</v>
      </c>
    </row>
    <row r="1014" customFormat="false" ht="15" hidden="false" customHeight="false" outlineLevel="0" collapsed="false">
      <c r="A1014" s="0" t="s">
        <v>1041</v>
      </c>
      <c r="B1014" s="4" t="n">
        <v>45941</v>
      </c>
      <c r="C1014" s="0" t="s">
        <v>27</v>
      </c>
      <c r="D1014" s="3" t="s">
        <v>25</v>
      </c>
      <c r="E1014" s="2" t="n">
        <v>2581</v>
      </c>
      <c r="F1014" s="5" t="n">
        <f aca="false">VLOOKUP(D1014,Lookup!$A$2:$B$4,2,FALSE())</f>
        <v>0.15</v>
      </c>
      <c r="G1014" s="2" t="n">
        <f aca="false">ROUND(E1014*F1014,2)</f>
        <v>387.15</v>
      </c>
      <c r="H1014" s="2" t="n">
        <f aca="false">E1014+G1014</f>
        <v>2968.15</v>
      </c>
      <c r="I1014" s="3" t="s">
        <v>22</v>
      </c>
      <c r="J1014" s="0" t="str">
        <f aca="false">_xlfn.XLOOKUP(C1014,Departments!$A$2:$A$6,Departments!$B$2:$B$6,"Unknown")</f>
        <v>Human Resources</v>
      </c>
    </row>
    <row r="1015" customFormat="false" ht="15" hidden="false" customHeight="false" outlineLevel="0" collapsed="false">
      <c r="A1015" s="0" t="s">
        <v>1042</v>
      </c>
      <c r="B1015" s="4" t="n">
        <v>45942</v>
      </c>
      <c r="C1015" s="0" t="s">
        <v>30</v>
      </c>
      <c r="D1015" s="3" t="s">
        <v>28</v>
      </c>
      <c r="E1015" s="2" t="n">
        <v>2618</v>
      </c>
      <c r="F1015" s="5" t="n">
        <f aca="false">VLOOKUP(D1015,Lookup!$A$2:$B$4,2,FALSE())</f>
        <v>0.05</v>
      </c>
      <c r="G1015" s="2" t="n">
        <f aca="false">ROUND(E1015*F1015,2)</f>
        <v>130.9</v>
      </c>
      <c r="H1015" s="2" t="n">
        <f aca="false">E1015+G1015</f>
        <v>2748.9</v>
      </c>
      <c r="I1015" s="3" t="s">
        <v>22</v>
      </c>
      <c r="J1015" s="0" t="str">
        <f aca="false">_xlfn.XLOOKUP(C1015,Departments!$A$2:$A$6,Departments!$B$2:$B$6,"Unknown")</f>
        <v>Technology</v>
      </c>
    </row>
    <row r="1016" customFormat="false" ht="15" hidden="false" customHeight="false" outlineLevel="0" collapsed="false">
      <c r="A1016" s="0" t="s">
        <v>1043</v>
      </c>
      <c r="B1016" s="4" t="n">
        <v>45943</v>
      </c>
      <c r="C1016" s="0" t="s">
        <v>32</v>
      </c>
      <c r="D1016" s="3" t="s">
        <v>21</v>
      </c>
      <c r="E1016" s="2" t="n">
        <v>2655</v>
      </c>
      <c r="F1016" s="5" t="n">
        <f aca="false">VLOOKUP(D1016,Lookup!$A$2:$B$4,2,FALSE())</f>
        <v>0.1</v>
      </c>
      <c r="G1016" s="2" t="n">
        <f aca="false">ROUND(E1016*F1016,2)</f>
        <v>265.5</v>
      </c>
      <c r="H1016" s="2" t="n">
        <f aca="false">E1016+G1016</f>
        <v>2920.5</v>
      </c>
      <c r="I1016" s="3" t="s">
        <v>35</v>
      </c>
      <c r="J1016" s="0" t="str">
        <f aca="false">_xlfn.XLOOKUP(C1016,Departments!$A$2:$A$6,Departments!$B$2:$B$6,"Unknown")</f>
        <v>Operations</v>
      </c>
    </row>
    <row r="1017" customFormat="false" ht="15" hidden="false" customHeight="false" outlineLevel="0" collapsed="false">
      <c r="A1017" s="0" t="s">
        <v>1044</v>
      </c>
      <c r="B1017" s="4" t="n">
        <v>45944</v>
      </c>
      <c r="C1017" s="0" t="s">
        <v>20</v>
      </c>
      <c r="D1017" s="3" t="s">
        <v>25</v>
      </c>
      <c r="E1017" s="2" t="n">
        <v>2692</v>
      </c>
      <c r="F1017" s="5" t="n">
        <f aca="false">VLOOKUP(D1017,Lookup!$A$2:$B$4,2,FALSE())</f>
        <v>0.15</v>
      </c>
      <c r="G1017" s="2" t="n">
        <f aca="false">ROUND(E1017*F1017,2)</f>
        <v>403.8</v>
      </c>
      <c r="H1017" s="2" t="n">
        <f aca="false">E1017+G1017</f>
        <v>3095.8</v>
      </c>
      <c r="I1017" s="3" t="s">
        <v>22</v>
      </c>
      <c r="J1017" s="0" t="str">
        <f aca="false">_xlfn.XLOOKUP(C1017,Departments!$A$2:$A$6,Departments!$B$2:$B$6,"Unknown")</f>
        <v>Finance</v>
      </c>
    </row>
    <row r="1018" customFormat="false" ht="15" hidden="false" customHeight="false" outlineLevel="0" collapsed="false">
      <c r="A1018" s="0" t="s">
        <v>1045</v>
      </c>
      <c r="B1018" s="4" t="n">
        <v>45945</v>
      </c>
      <c r="C1018" s="0" t="s">
        <v>24</v>
      </c>
      <c r="D1018" s="3" t="s">
        <v>28</v>
      </c>
      <c r="E1018" s="2" t="n">
        <v>2729</v>
      </c>
      <c r="F1018" s="5" t="n">
        <f aca="false">VLOOKUP(D1018,Lookup!$A$2:$B$4,2,FALSE())</f>
        <v>0.05</v>
      </c>
      <c r="G1018" s="2" t="n">
        <f aca="false">ROUND(E1018*F1018,2)</f>
        <v>136.45</v>
      </c>
      <c r="H1018" s="2" t="n">
        <f aca="false">E1018+G1018</f>
        <v>2865.45</v>
      </c>
      <c r="I1018" s="3" t="s">
        <v>22</v>
      </c>
      <c r="J1018" s="0" t="str">
        <f aca="false">_xlfn.XLOOKUP(C1018,Departments!$A$2:$A$6,Departments!$B$2:$B$6,"Unknown")</f>
        <v>Quality</v>
      </c>
    </row>
    <row r="1019" customFormat="false" ht="15" hidden="false" customHeight="false" outlineLevel="0" collapsed="false">
      <c r="A1019" s="0" t="s">
        <v>1046</v>
      </c>
      <c r="B1019" s="4" t="n">
        <v>45946</v>
      </c>
      <c r="C1019" s="0" t="s">
        <v>27</v>
      </c>
      <c r="D1019" s="3" t="s">
        <v>21</v>
      </c>
      <c r="E1019" s="2" t="n">
        <v>2766</v>
      </c>
      <c r="F1019" s="5" t="n">
        <f aca="false">VLOOKUP(D1019,Lookup!$A$2:$B$4,2,FALSE())</f>
        <v>0.1</v>
      </c>
      <c r="G1019" s="2" t="n">
        <f aca="false">ROUND(E1019*F1019,2)</f>
        <v>276.6</v>
      </c>
      <c r="H1019" s="2" t="n">
        <f aca="false">E1019+G1019</f>
        <v>3042.6</v>
      </c>
      <c r="I1019" s="3" t="s">
        <v>22</v>
      </c>
      <c r="J1019" s="0" t="str">
        <f aca="false">_xlfn.XLOOKUP(C1019,Departments!$A$2:$A$6,Departments!$B$2:$B$6,"Unknown")</f>
        <v>Human Resources</v>
      </c>
    </row>
    <row r="1020" customFormat="false" ht="15" hidden="false" customHeight="false" outlineLevel="0" collapsed="false">
      <c r="A1020" s="0" t="s">
        <v>1047</v>
      </c>
      <c r="B1020" s="4" t="n">
        <v>45947</v>
      </c>
      <c r="C1020" s="0" t="s">
        <v>30</v>
      </c>
      <c r="D1020" s="3" t="s">
        <v>25</v>
      </c>
      <c r="E1020" s="2" t="n">
        <v>2803</v>
      </c>
      <c r="F1020" s="5" t="n">
        <f aca="false">VLOOKUP(D1020,Lookup!$A$2:$B$4,2,FALSE())</f>
        <v>0.15</v>
      </c>
      <c r="G1020" s="2" t="n">
        <f aca="false">ROUND(E1020*F1020,2)</f>
        <v>420.45</v>
      </c>
      <c r="H1020" s="2" t="n">
        <f aca="false">E1020+G1020</f>
        <v>3223.45</v>
      </c>
      <c r="I1020" s="3" t="s">
        <v>22</v>
      </c>
      <c r="J1020" s="0" t="str">
        <f aca="false">_xlfn.XLOOKUP(C1020,Departments!$A$2:$A$6,Departments!$B$2:$B$6,"Unknown")</f>
        <v>Technology</v>
      </c>
    </row>
    <row r="1021" customFormat="false" ht="15" hidden="false" customHeight="false" outlineLevel="0" collapsed="false">
      <c r="A1021" s="0" t="s">
        <v>1048</v>
      </c>
      <c r="B1021" s="4" t="n">
        <v>45948</v>
      </c>
      <c r="C1021" s="0" t="s">
        <v>32</v>
      </c>
      <c r="D1021" s="3" t="s">
        <v>28</v>
      </c>
      <c r="E1021" s="2" t="n">
        <v>2840</v>
      </c>
      <c r="F1021" s="5" t="n">
        <f aca="false">VLOOKUP(D1021,Lookup!$A$2:$B$4,2,FALSE())</f>
        <v>0.05</v>
      </c>
      <c r="G1021" s="2" t="n">
        <f aca="false">ROUND(E1021*F1021,2)</f>
        <v>142</v>
      </c>
      <c r="H1021" s="2" t="n">
        <f aca="false">E1021+G1021</f>
        <v>2982</v>
      </c>
      <c r="I1021" s="3" t="s">
        <v>22</v>
      </c>
      <c r="J1021" s="0" t="str">
        <f aca="false">_xlfn.XLOOKUP(C1021,Departments!$A$2:$A$6,Departments!$B$2:$B$6,"Unknown")</f>
        <v>Operations</v>
      </c>
    </row>
    <row r="1022" customFormat="false" ht="15" hidden="false" customHeight="false" outlineLevel="0" collapsed="false">
      <c r="A1022" s="0" t="s">
        <v>1049</v>
      </c>
      <c r="B1022" s="4" t="n">
        <v>45949</v>
      </c>
      <c r="C1022" s="0" t="s">
        <v>20</v>
      </c>
      <c r="D1022" s="3" t="s">
        <v>21</v>
      </c>
      <c r="E1022" s="2" t="n">
        <v>2877</v>
      </c>
      <c r="F1022" s="5" t="n">
        <f aca="false">VLOOKUP(D1022,Lookup!$A$2:$B$4,2,FALSE())</f>
        <v>0.1</v>
      </c>
      <c r="G1022" s="2" t="n">
        <f aca="false">ROUND(E1022*F1022,2)</f>
        <v>287.7</v>
      </c>
      <c r="H1022" s="2" t="n">
        <f aca="false">E1022+G1022</f>
        <v>3164.7</v>
      </c>
      <c r="I1022" s="3" t="s">
        <v>22</v>
      </c>
      <c r="J1022" s="0" t="str">
        <f aca="false">_xlfn.XLOOKUP(C1022,Departments!$A$2:$A$6,Departments!$B$2:$B$6,"Unknown")</f>
        <v>Finance</v>
      </c>
    </row>
    <row r="1023" customFormat="false" ht="15" hidden="false" customHeight="false" outlineLevel="0" collapsed="false">
      <c r="A1023" s="0" t="s">
        <v>1050</v>
      </c>
      <c r="B1023" s="4" t="n">
        <v>45950</v>
      </c>
      <c r="C1023" s="0" t="s">
        <v>24</v>
      </c>
      <c r="D1023" s="3" t="s">
        <v>25</v>
      </c>
      <c r="E1023" s="2" t="n">
        <v>2914</v>
      </c>
      <c r="F1023" s="5" t="n">
        <f aca="false">VLOOKUP(D1023,Lookup!$A$2:$B$4,2,FALSE())</f>
        <v>0.15</v>
      </c>
      <c r="G1023" s="2" t="n">
        <f aca="false">ROUND(E1023*F1023,2)</f>
        <v>437.1</v>
      </c>
      <c r="H1023" s="2" t="n">
        <f aca="false">E1023+G1023</f>
        <v>3351.1</v>
      </c>
      <c r="I1023" s="3" t="s">
        <v>35</v>
      </c>
      <c r="J1023" s="0" t="str">
        <f aca="false">_xlfn.XLOOKUP(C1023,Departments!$A$2:$A$6,Departments!$B$2:$B$6,"Unknown")</f>
        <v>Quality</v>
      </c>
    </row>
    <row r="1024" customFormat="false" ht="15" hidden="false" customHeight="false" outlineLevel="0" collapsed="false">
      <c r="A1024" s="0" t="s">
        <v>1051</v>
      </c>
      <c r="B1024" s="4" t="n">
        <v>45951</v>
      </c>
      <c r="C1024" s="0" t="s">
        <v>27</v>
      </c>
      <c r="D1024" s="3" t="s">
        <v>28</v>
      </c>
      <c r="E1024" s="2" t="n">
        <v>2951</v>
      </c>
      <c r="F1024" s="5" t="n">
        <f aca="false">VLOOKUP(D1024,Lookup!$A$2:$B$4,2,FALSE())</f>
        <v>0.05</v>
      </c>
      <c r="G1024" s="2" t="n">
        <f aca="false">ROUND(E1024*F1024,2)</f>
        <v>147.55</v>
      </c>
      <c r="H1024" s="2" t="n">
        <f aca="false">E1024+G1024</f>
        <v>3098.55</v>
      </c>
      <c r="I1024" s="3" t="s">
        <v>22</v>
      </c>
      <c r="J1024" s="0" t="str">
        <f aca="false">_xlfn.XLOOKUP(C1024,Departments!$A$2:$A$6,Departments!$B$2:$B$6,"Unknown")</f>
        <v>Human Resources</v>
      </c>
    </row>
    <row r="1025" customFormat="false" ht="15" hidden="false" customHeight="false" outlineLevel="0" collapsed="false">
      <c r="A1025" s="0" t="s">
        <v>1052</v>
      </c>
      <c r="B1025" s="4" t="n">
        <v>45952</v>
      </c>
      <c r="C1025" s="0" t="s">
        <v>30</v>
      </c>
      <c r="D1025" s="3" t="s">
        <v>21</v>
      </c>
      <c r="E1025" s="2" t="n">
        <v>2988</v>
      </c>
      <c r="F1025" s="5" t="n">
        <f aca="false">VLOOKUP(D1025,Lookup!$A$2:$B$4,2,FALSE())</f>
        <v>0.1</v>
      </c>
      <c r="G1025" s="2" t="n">
        <f aca="false">ROUND(E1025*F1025,2)</f>
        <v>298.8</v>
      </c>
      <c r="H1025" s="2" t="n">
        <f aca="false">E1025+G1025</f>
        <v>3286.8</v>
      </c>
      <c r="I1025" s="3" t="s">
        <v>22</v>
      </c>
      <c r="J1025" s="0" t="str">
        <f aca="false">_xlfn.XLOOKUP(C1025,Departments!$A$2:$A$6,Departments!$B$2:$B$6,"Unknown")</f>
        <v>Technology</v>
      </c>
    </row>
    <row r="1026" customFormat="false" ht="15" hidden="false" customHeight="false" outlineLevel="0" collapsed="false">
      <c r="A1026" s="0" t="s">
        <v>1053</v>
      </c>
      <c r="B1026" s="4" t="n">
        <v>45953</v>
      </c>
      <c r="C1026" s="0" t="s">
        <v>32</v>
      </c>
      <c r="D1026" s="3" t="s">
        <v>25</v>
      </c>
      <c r="E1026" s="2" t="n">
        <v>3025</v>
      </c>
      <c r="F1026" s="5" t="n">
        <f aca="false">VLOOKUP(D1026,Lookup!$A$2:$B$4,2,FALSE())</f>
        <v>0.15</v>
      </c>
      <c r="G1026" s="2" t="n">
        <f aca="false">ROUND(E1026*F1026,2)</f>
        <v>453.75</v>
      </c>
      <c r="H1026" s="2" t="n">
        <f aca="false">E1026+G1026</f>
        <v>3478.75</v>
      </c>
      <c r="I1026" s="3" t="s">
        <v>22</v>
      </c>
      <c r="J1026" s="0" t="str">
        <f aca="false">_xlfn.XLOOKUP(C1026,Departments!$A$2:$A$6,Departments!$B$2:$B$6,"Unknown")</f>
        <v>Operations</v>
      </c>
    </row>
    <row r="1027" customFormat="false" ht="15" hidden="false" customHeight="false" outlineLevel="0" collapsed="false">
      <c r="A1027" s="0" t="s">
        <v>1054</v>
      </c>
      <c r="B1027" s="4" t="n">
        <v>45954</v>
      </c>
      <c r="C1027" s="0" t="s">
        <v>20</v>
      </c>
      <c r="D1027" s="3" t="s">
        <v>28</v>
      </c>
      <c r="E1027" s="2" t="n">
        <v>3062</v>
      </c>
      <c r="F1027" s="5" t="n">
        <f aca="false">VLOOKUP(D1027,Lookup!$A$2:$B$4,2,FALSE())</f>
        <v>0.05</v>
      </c>
      <c r="G1027" s="2" t="n">
        <f aca="false">ROUND(E1027*F1027,2)</f>
        <v>153.1</v>
      </c>
      <c r="H1027" s="2" t="n">
        <f aca="false">E1027+G1027</f>
        <v>3215.1</v>
      </c>
      <c r="I1027" s="3" t="s">
        <v>22</v>
      </c>
      <c r="J1027" s="0" t="str">
        <f aca="false">_xlfn.XLOOKUP(C1027,Departments!$A$2:$A$6,Departments!$B$2:$B$6,"Unknown")</f>
        <v>Finance</v>
      </c>
    </row>
    <row r="1028" customFormat="false" ht="15" hidden="false" customHeight="false" outlineLevel="0" collapsed="false">
      <c r="A1028" s="0" t="s">
        <v>1055</v>
      </c>
      <c r="B1028" s="4" t="n">
        <v>45955</v>
      </c>
      <c r="C1028" s="0" t="s">
        <v>24</v>
      </c>
      <c r="D1028" s="3" t="s">
        <v>21</v>
      </c>
      <c r="E1028" s="2" t="n">
        <v>3099</v>
      </c>
      <c r="F1028" s="5" t="n">
        <f aca="false">VLOOKUP(D1028,Lookup!$A$2:$B$4,2,FALSE())</f>
        <v>0.1</v>
      </c>
      <c r="G1028" s="2" t="n">
        <f aca="false">ROUND(E1028*F1028,2)</f>
        <v>309.9</v>
      </c>
      <c r="H1028" s="2" t="n">
        <f aca="false">E1028+G1028</f>
        <v>3408.9</v>
      </c>
      <c r="I1028" s="3" t="s">
        <v>22</v>
      </c>
      <c r="J1028" s="0" t="str">
        <f aca="false">_xlfn.XLOOKUP(C1028,Departments!$A$2:$A$6,Departments!$B$2:$B$6,"Unknown")</f>
        <v>Quality</v>
      </c>
    </row>
    <row r="1029" customFormat="false" ht="15" hidden="false" customHeight="false" outlineLevel="0" collapsed="false">
      <c r="A1029" s="0" t="s">
        <v>1056</v>
      </c>
      <c r="B1029" s="4" t="n">
        <v>45956</v>
      </c>
      <c r="C1029" s="0" t="s">
        <v>27</v>
      </c>
      <c r="D1029" s="3" t="s">
        <v>25</v>
      </c>
      <c r="E1029" s="2" t="n">
        <v>3136</v>
      </c>
      <c r="F1029" s="5" t="n">
        <f aca="false">VLOOKUP(D1029,Lookup!$A$2:$B$4,2,FALSE())</f>
        <v>0.15</v>
      </c>
      <c r="G1029" s="2" t="n">
        <f aca="false">ROUND(E1029*F1029,2)</f>
        <v>470.4</v>
      </c>
      <c r="H1029" s="2" t="n">
        <f aca="false">E1029+G1029</f>
        <v>3606.4</v>
      </c>
      <c r="I1029" s="3" t="s">
        <v>22</v>
      </c>
      <c r="J1029" s="0" t="str">
        <f aca="false">_xlfn.XLOOKUP(C1029,Departments!$A$2:$A$6,Departments!$B$2:$B$6,"Unknown")</f>
        <v>Human Resources</v>
      </c>
    </row>
    <row r="1030" customFormat="false" ht="15" hidden="false" customHeight="false" outlineLevel="0" collapsed="false">
      <c r="A1030" s="0" t="s">
        <v>1057</v>
      </c>
      <c r="B1030" s="4" t="n">
        <v>45957</v>
      </c>
      <c r="C1030" s="0" t="s">
        <v>30</v>
      </c>
      <c r="D1030" s="3" t="s">
        <v>28</v>
      </c>
      <c r="E1030" s="2" t="n">
        <v>3173</v>
      </c>
      <c r="F1030" s="5" t="n">
        <f aca="false">VLOOKUP(D1030,Lookup!$A$2:$B$4,2,FALSE())</f>
        <v>0.05</v>
      </c>
      <c r="G1030" s="2" t="n">
        <f aca="false">ROUND(E1030*F1030,2)</f>
        <v>158.65</v>
      </c>
      <c r="H1030" s="2" t="n">
        <f aca="false">E1030+G1030</f>
        <v>3331.65</v>
      </c>
      <c r="I1030" s="3" t="s">
        <v>35</v>
      </c>
      <c r="J1030" s="0" t="str">
        <f aca="false">_xlfn.XLOOKUP(C1030,Departments!$A$2:$A$6,Departments!$B$2:$B$6,"Unknown")</f>
        <v>Technology</v>
      </c>
    </row>
    <row r="1031" customFormat="false" ht="15" hidden="false" customHeight="false" outlineLevel="0" collapsed="false">
      <c r="A1031" s="0" t="s">
        <v>1058</v>
      </c>
      <c r="B1031" s="4" t="n">
        <v>45958</v>
      </c>
      <c r="C1031" s="0" t="s">
        <v>32</v>
      </c>
      <c r="D1031" s="3" t="s">
        <v>21</v>
      </c>
      <c r="E1031" s="2" t="n">
        <v>3210</v>
      </c>
      <c r="F1031" s="5" t="n">
        <f aca="false">VLOOKUP(D1031,Lookup!$A$2:$B$4,2,FALSE())</f>
        <v>0.1</v>
      </c>
      <c r="G1031" s="2" t="n">
        <f aca="false">ROUND(E1031*F1031,2)</f>
        <v>321</v>
      </c>
      <c r="H1031" s="2" t="n">
        <f aca="false">E1031+G1031</f>
        <v>3531</v>
      </c>
      <c r="I1031" s="3" t="s">
        <v>22</v>
      </c>
      <c r="J1031" s="0" t="str">
        <f aca="false">_xlfn.XLOOKUP(C1031,Departments!$A$2:$A$6,Departments!$B$2:$B$6,"Unknown")</f>
        <v>Operations</v>
      </c>
    </row>
    <row r="1032" customFormat="false" ht="15" hidden="false" customHeight="false" outlineLevel="0" collapsed="false">
      <c r="A1032" s="0" t="s">
        <v>1059</v>
      </c>
      <c r="B1032" s="4" t="n">
        <v>45959</v>
      </c>
      <c r="C1032" s="0" t="s">
        <v>20</v>
      </c>
      <c r="D1032" s="3" t="s">
        <v>25</v>
      </c>
      <c r="E1032" s="2" t="n">
        <v>3247</v>
      </c>
      <c r="F1032" s="5" t="n">
        <f aca="false">VLOOKUP(D1032,Lookup!$A$2:$B$4,2,FALSE())</f>
        <v>0.15</v>
      </c>
      <c r="G1032" s="2" t="n">
        <f aca="false">ROUND(E1032*F1032,2)</f>
        <v>487.05</v>
      </c>
      <c r="H1032" s="2" t="n">
        <f aca="false">E1032+G1032</f>
        <v>3734.05</v>
      </c>
      <c r="I1032" s="3" t="s">
        <v>22</v>
      </c>
      <c r="J1032" s="0" t="str">
        <f aca="false">_xlfn.XLOOKUP(C1032,Departments!$A$2:$A$6,Departments!$B$2:$B$6,"Unknown")</f>
        <v>Finance</v>
      </c>
    </row>
    <row r="1033" customFormat="false" ht="15" hidden="false" customHeight="false" outlineLevel="0" collapsed="false">
      <c r="A1033" s="0" t="s">
        <v>1060</v>
      </c>
      <c r="B1033" s="4" t="n">
        <v>45960</v>
      </c>
      <c r="C1033" s="0" t="s">
        <v>24</v>
      </c>
      <c r="D1033" s="3" t="s">
        <v>28</v>
      </c>
      <c r="E1033" s="2" t="n">
        <v>3284</v>
      </c>
      <c r="F1033" s="5" t="n">
        <f aca="false">VLOOKUP(D1033,Lookup!$A$2:$B$4,2,FALSE())</f>
        <v>0.05</v>
      </c>
      <c r="G1033" s="2" t="n">
        <f aca="false">ROUND(E1033*F1033,2)</f>
        <v>164.2</v>
      </c>
      <c r="H1033" s="2" t="n">
        <f aca="false">E1033+G1033</f>
        <v>3448.2</v>
      </c>
      <c r="I1033" s="3" t="s">
        <v>22</v>
      </c>
      <c r="J1033" s="0" t="str">
        <f aca="false">_xlfn.XLOOKUP(C1033,Departments!$A$2:$A$6,Departments!$B$2:$B$6,"Unknown")</f>
        <v>Quality</v>
      </c>
    </row>
    <row r="1034" customFormat="false" ht="15" hidden="false" customHeight="false" outlineLevel="0" collapsed="false">
      <c r="A1034" s="0" t="s">
        <v>1061</v>
      </c>
      <c r="B1034" s="4" t="n">
        <v>45961</v>
      </c>
      <c r="C1034" s="0" t="s">
        <v>27</v>
      </c>
      <c r="D1034" s="3" t="s">
        <v>21</v>
      </c>
      <c r="E1034" s="2" t="n">
        <v>3321</v>
      </c>
      <c r="F1034" s="5" t="n">
        <f aca="false">VLOOKUP(D1034,Lookup!$A$2:$B$4,2,FALSE())</f>
        <v>0.1</v>
      </c>
      <c r="G1034" s="2" t="n">
        <f aca="false">ROUND(E1034*F1034,2)</f>
        <v>332.1</v>
      </c>
      <c r="H1034" s="2" t="n">
        <f aca="false">E1034+G1034</f>
        <v>3653.1</v>
      </c>
      <c r="I1034" s="3" t="s">
        <v>22</v>
      </c>
      <c r="J1034" s="0" t="str">
        <f aca="false">_xlfn.XLOOKUP(C1034,Departments!$A$2:$A$6,Departments!$B$2:$B$6,"Unknown")</f>
        <v>Human Resources</v>
      </c>
    </row>
    <row r="1035" customFormat="false" ht="15" hidden="false" customHeight="false" outlineLevel="0" collapsed="false">
      <c r="A1035" s="0" t="s">
        <v>1062</v>
      </c>
      <c r="B1035" s="4" t="n">
        <v>45962</v>
      </c>
      <c r="C1035" s="0" t="s">
        <v>30</v>
      </c>
      <c r="D1035" s="3" t="s">
        <v>25</v>
      </c>
      <c r="E1035" s="2" t="n">
        <v>3358</v>
      </c>
      <c r="F1035" s="5" t="n">
        <f aca="false">VLOOKUP(D1035,Lookup!$A$2:$B$4,2,FALSE())</f>
        <v>0.15</v>
      </c>
      <c r="G1035" s="2" t="n">
        <f aca="false">ROUND(E1035*F1035,2)</f>
        <v>503.7</v>
      </c>
      <c r="H1035" s="2" t="n">
        <f aca="false">E1035+G1035</f>
        <v>3861.7</v>
      </c>
      <c r="I1035" s="3" t="s">
        <v>22</v>
      </c>
      <c r="J1035" s="0" t="str">
        <f aca="false">_xlfn.XLOOKUP(C1035,Departments!$A$2:$A$6,Departments!$B$2:$B$6,"Unknown")</f>
        <v>Technology</v>
      </c>
    </row>
    <row r="1036" customFormat="false" ht="15" hidden="false" customHeight="false" outlineLevel="0" collapsed="false">
      <c r="A1036" s="0" t="s">
        <v>1063</v>
      </c>
      <c r="B1036" s="4" t="n">
        <v>45963</v>
      </c>
      <c r="C1036" s="0" t="s">
        <v>32</v>
      </c>
      <c r="D1036" s="3" t="s">
        <v>28</v>
      </c>
      <c r="E1036" s="2" t="n">
        <v>3395</v>
      </c>
      <c r="F1036" s="5" t="n">
        <f aca="false">VLOOKUP(D1036,Lookup!$A$2:$B$4,2,FALSE())</f>
        <v>0.05</v>
      </c>
      <c r="G1036" s="2" t="n">
        <f aca="false">ROUND(E1036*F1036,2)</f>
        <v>169.75</v>
      </c>
      <c r="H1036" s="2" t="n">
        <f aca="false">E1036+G1036</f>
        <v>3564.75</v>
      </c>
      <c r="I1036" s="3" t="s">
        <v>22</v>
      </c>
      <c r="J1036" s="0" t="str">
        <f aca="false">_xlfn.XLOOKUP(C1036,Departments!$A$2:$A$6,Departments!$B$2:$B$6,"Unknown")</f>
        <v>Operations</v>
      </c>
    </row>
    <row r="1037" customFormat="false" ht="15" hidden="false" customHeight="false" outlineLevel="0" collapsed="false">
      <c r="A1037" s="0" t="s">
        <v>1064</v>
      </c>
      <c r="B1037" s="4" t="n">
        <v>45964</v>
      </c>
      <c r="C1037" s="0" t="s">
        <v>20</v>
      </c>
      <c r="D1037" s="3" t="s">
        <v>21</v>
      </c>
      <c r="E1037" s="2" t="n">
        <v>3432</v>
      </c>
      <c r="F1037" s="5" t="n">
        <f aca="false">VLOOKUP(D1037,Lookup!$A$2:$B$4,2,FALSE())</f>
        <v>0.1</v>
      </c>
      <c r="G1037" s="2" t="n">
        <f aca="false">ROUND(E1037*F1037,2)</f>
        <v>343.2</v>
      </c>
      <c r="H1037" s="2" t="n">
        <f aca="false">E1037+G1037</f>
        <v>3775.2</v>
      </c>
      <c r="I1037" s="3" t="s">
        <v>35</v>
      </c>
      <c r="J1037" s="0" t="str">
        <f aca="false">_xlfn.XLOOKUP(C1037,Departments!$A$2:$A$6,Departments!$B$2:$B$6,"Unknown")</f>
        <v>Finance</v>
      </c>
    </row>
    <row r="1038" customFormat="false" ht="15" hidden="false" customHeight="false" outlineLevel="0" collapsed="false">
      <c r="A1038" s="0" t="s">
        <v>1065</v>
      </c>
      <c r="B1038" s="4" t="n">
        <v>45965</v>
      </c>
      <c r="C1038" s="0" t="s">
        <v>24</v>
      </c>
      <c r="D1038" s="3" t="s">
        <v>25</v>
      </c>
      <c r="E1038" s="2" t="n">
        <v>3469</v>
      </c>
      <c r="F1038" s="5" t="n">
        <f aca="false">VLOOKUP(D1038,Lookup!$A$2:$B$4,2,FALSE())</f>
        <v>0.15</v>
      </c>
      <c r="G1038" s="2" t="n">
        <f aca="false">ROUND(E1038*F1038,2)</f>
        <v>520.35</v>
      </c>
      <c r="H1038" s="2" t="n">
        <f aca="false">E1038+G1038</f>
        <v>3989.35</v>
      </c>
      <c r="I1038" s="3" t="s">
        <v>22</v>
      </c>
      <c r="J1038" s="0" t="str">
        <f aca="false">_xlfn.XLOOKUP(C1038,Departments!$A$2:$A$6,Departments!$B$2:$B$6,"Unknown")</f>
        <v>Quality</v>
      </c>
    </row>
    <row r="1039" customFormat="false" ht="15" hidden="false" customHeight="false" outlineLevel="0" collapsed="false">
      <c r="A1039" s="0" t="s">
        <v>1066</v>
      </c>
      <c r="B1039" s="4" t="n">
        <v>45966</v>
      </c>
      <c r="C1039" s="0" t="s">
        <v>27</v>
      </c>
      <c r="D1039" s="3" t="s">
        <v>28</v>
      </c>
      <c r="E1039" s="2" t="n">
        <v>3506</v>
      </c>
      <c r="F1039" s="5" t="n">
        <f aca="false">VLOOKUP(D1039,Lookup!$A$2:$B$4,2,FALSE())</f>
        <v>0.05</v>
      </c>
      <c r="G1039" s="2" t="n">
        <f aca="false">ROUND(E1039*F1039,2)</f>
        <v>175.3</v>
      </c>
      <c r="H1039" s="2" t="n">
        <f aca="false">E1039+G1039</f>
        <v>3681.3</v>
      </c>
      <c r="I1039" s="3" t="s">
        <v>22</v>
      </c>
      <c r="J1039" s="0" t="str">
        <f aca="false">_xlfn.XLOOKUP(C1039,Departments!$A$2:$A$6,Departments!$B$2:$B$6,"Unknown")</f>
        <v>Human Resources</v>
      </c>
    </row>
    <row r="1040" customFormat="false" ht="15" hidden="false" customHeight="false" outlineLevel="0" collapsed="false">
      <c r="A1040" s="0" t="s">
        <v>1067</v>
      </c>
      <c r="B1040" s="4" t="n">
        <v>45967</v>
      </c>
      <c r="C1040" s="0" t="s">
        <v>30</v>
      </c>
      <c r="D1040" s="3" t="s">
        <v>21</v>
      </c>
      <c r="E1040" s="2" t="n">
        <v>3543</v>
      </c>
      <c r="F1040" s="5" t="n">
        <f aca="false">VLOOKUP(D1040,Lookup!$A$2:$B$4,2,FALSE())</f>
        <v>0.1</v>
      </c>
      <c r="G1040" s="2" t="n">
        <f aca="false">ROUND(E1040*F1040,2)</f>
        <v>354.3</v>
      </c>
      <c r="H1040" s="2" t="n">
        <f aca="false">E1040+G1040</f>
        <v>3897.3</v>
      </c>
      <c r="I1040" s="3" t="s">
        <v>22</v>
      </c>
      <c r="J1040" s="0" t="str">
        <f aca="false">_xlfn.XLOOKUP(C1040,Departments!$A$2:$A$6,Departments!$B$2:$B$6,"Unknown")</f>
        <v>Technology</v>
      </c>
    </row>
    <row r="1041" customFormat="false" ht="15" hidden="false" customHeight="false" outlineLevel="0" collapsed="false">
      <c r="A1041" s="0" t="s">
        <v>1068</v>
      </c>
      <c r="B1041" s="4" t="n">
        <v>45968</v>
      </c>
      <c r="C1041" s="0" t="s">
        <v>32</v>
      </c>
      <c r="D1041" s="3" t="s">
        <v>25</v>
      </c>
      <c r="E1041" s="2" t="n">
        <v>3580</v>
      </c>
      <c r="F1041" s="5" t="n">
        <f aca="false">VLOOKUP(D1041,Lookup!$A$2:$B$4,2,FALSE())</f>
        <v>0.15</v>
      </c>
      <c r="G1041" s="2" t="n">
        <f aca="false">ROUND(E1041*F1041,2)</f>
        <v>537</v>
      </c>
      <c r="H1041" s="2" t="n">
        <f aca="false">E1041+G1041</f>
        <v>4117</v>
      </c>
      <c r="I1041" s="3" t="s">
        <v>22</v>
      </c>
      <c r="J1041" s="0" t="str">
        <f aca="false">_xlfn.XLOOKUP(C1041,Departments!$A$2:$A$6,Departments!$B$2:$B$6,"Unknown")</f>
        <v>Operations</v>
      </c>
    </row>
    <row r="1042" customFormat="false" ht="15" hidden="false" customHeight="false" outlineLevel="0" collapsed="false">
      <c r="A1042" s="0" t="s">
        <v>1069</v>
      </c>
      <c r="B1042" s="4" t="n">
        <v>45969</v>
      </c>
      <c r="C1042" s="0" t="s">
        <v>20</v>
      </c>
      <c r="D1042" s="3" t="s">
        <v>28</v>
      </c>
      <c r="E1042" s="2" t="n">
        <v>3617</v>
      </c>
      <c r="F1042" s="5" t="n">
        <f aca="false">VLOOKUP(D1042,Lookup!$A$2:$B$4,2,FALSE())</f>
        <v>0.05</v>
      </c>
      <c r="G1042" s="2" t="n">
        <f aca="false">ROUND(E1042*F1042,2)</f>
        <v>180.85</v>
      </c>
      <c r="H1042" s="2" t="n">
        <f aca="false">E1042+G1042</f>
        <v>3797.85</v>
      </c>
      <c r="I1042" s="3" t="s">
        <v>22</v>
      </c>
      <c r="J1042" s="0" t="str">
        <f aca="false">_xlfn.XLOOKUP(C1042,Departments!$A$2:$A$6,Departments!$B$2:$B$6,"Unknown")</f>
        <v>Finance</v>
      </c>
    </row>
    <row r="1043" customFormat="false" ht="15" hidden="false" customHeight="false" outlineLevel="0" collapsed="false">
      <c r="A1043" s="0" t="s">
        <v>1070</v>
      </c>
      <c r="B1043" s="4" t="n">
        <v>45970</v>
      </c>
      <c r="C1043" s="0" t="s">
        <v>24</v>
      </c>
      <c r="D1043" s="3" t="s">
        <v>21</v>
      </c>
      <c r="E1043" s="2" t="n">
        <v>3654</v>
      </c>
      <c r="F1043" s="5" t="n">
        <f aca="false">VLOOKUP(D1043,Lookup!$A$2:$B$4,2,FALSE())</f>
        <v>0.1</v>
      </c>
      <c r="G1043" s="2" t="n">
        <f aca="false">ROUND(E1043*F1043,2)</f>
        <v>365.4</v>
      </c>
      <c r="H1043" s="2" t="n">
        <f aca="false">E1043+G1043</f>
        <v>4019.4</v>
      </c>
      <c r="I1043" s="3" t="s">
        <v>22</v>
      </c>
      <c r="J1043" s="0" t="str">
        <f aca="false">_xlfn.XLOOKUP(C1043,Departments!$A$2:$A$6,Departments!$B$2:$B$6,"Unknown")</f>
        <v>Quality</v>
      </c>
    </row>
    <row r="1044" customFormat="false" ht="15" hidden="false" customHeight="false" outlineLevel="0" collapsed="false">
      <c r="A1044" s="0" t="s">
        <v>1071</v>
      </c>
      <c r="B1044" s="4" t="n">
        <v>45971</v>
      </c>
      <c r="C1044" s="0" t="s">
        <v>27</v>
      </c>
      <c r="D1044" s="3" t="s">
        <v>25</v>
      </c>
      <c r="E1044" s="2" t="n">
        <v>3691</v>
      </c>
      <c r="F1044" s="5" t="n">
        <f aca="false">VLOOKUP(D1044,Lookup!$A$2:$B$4,2,FALSE())</f>
        <v>0.15</v>
      </c>
      <c r="G1044" s="2" t="n">
        <f aca="false">ROUND(E1044*F1044,2)</f>
        <v>553.65</v>
      </c>
      <c r="H1044" s="2" t="n">
        <f aca="false">E1044+G1044</f>
        <v>4244.65</v>
      </c>
      <c r="I1044" s="3" t="s">
        <v>35</v>
      </c>
      <c r="J1044" s="0" t="str">
        <f aca="false">_xlfn.XLOOKUP(C1044,Departments!$A$2:$A$6,Departments!$B$2:$B$6,"Unknown")</f>
        <v>Human Resources</v>
      </c>
    </row>
    <row r="1045" customFormat="false" ht="15" hidden="false" customHeight="false" outlineLevel="0" collapsed="false">
      <c r="A1045" s="0" t="s">
        <v>1072</v>
      </c>
      <c r="B1045" s="4" t="n">
        <v>45972</v>
      </c>
      <c r="C1045" s="0" t="s">
        <v>30</v>
      </c>
      <c r="D1045" s="3" t="s">
        <v>28</v>
      </c>
      <c r="E1045" s="2" t="n">
        <v>3728</v>
      </c>
      <c r="F1045" s="5" t="n">
        <f aca="false">VLOOKUP(D1045,Lookup!$A$2:$B$4,2,FALSE())</f>
        <v>0.05</v>
      </c>
      <c r="G1045" s="2" t="n">
        <f aca="false">ROUND(E1045*F1045,2)</f>
        <v>186.4</v>
      </c>
      <c r="H1045" s="2" t="n">
        <f aca="false">E1045+G1045</f>
        <v>3914.4</v>
      </c>
      <c r="I1045" s="3" t="s">
        <v>22</v>
      </c>
      <c r="J1045" s="0" t="str">
        <f aca="false">_xlfn.XLOOKUP(C1045,Departments!$A$2:$A$6,Departments!$B$2:$B$6,"Unknown")</f>
        <v>Technology</v>
      </c>
    </row>
    <row r="1046" customFormat="false" ht="15" hidden="false" customHeight="false" outlineLevel="0" collapsed="false">
      <c r="A1046" s="0" t="s">
        <v>1073</v>
      </c>
      <c r="B1046" s="4" t="n">
        <v>45973</v>
      </c>
      <c r="C1046" s="0" t="s">
        <v>32</v>
      </c>
      <c r="D1046" s="3" t="s">
        <v>21</v>
      </c>
      <c r="E1046" s="2" t="n">
        <v>3765</v>
      </c>
      <c r="F1046" s="5" t="n">
        <f aca="false">VLOOKUP(D1046,Lookup!$A$2:$B$4,2,FALSE())</f>
        <v>0.1</v>
      </c>
      <c r="G1046" s="2" t="n">
        <f aca="false">ROUND(E1046*F1046,2)</f>
        <v>376.5</v>
      </c>
      <c r="H1046" s="2" t="n">
        <f aca="false">E1046+G1046</f>
        <v>4141.5</v>
      </c>
      <c r="I1046" s="3" t="s">
        <v>22</v>
      </c>
      <c r="J1046" s="0" t="str">
        <f aca="false">_xlfn.XLOOKUP(C1046,Departments!$A$2:$A$6,Departments!$B$2:$B$6,"Unknown")</f>
        <v>Operations</v>
      </c>
    </row>
    <row r="1047" customFormat="false" ht="15" hidden="false" customHeight="false" outlineLevel="0" collapsed="false">
      <c r="A1047" s="0" t="s">
        <v>1074</v>
      </c>
      <c r="B1047" s="4" t="n">
        <v>45974</v>
      </c>
      <c r="C1047" s="0" t="s">
        <v>20</v>
      </c>
      <c r="D1047" s="3" t="s">
        <v>25</v>
      </c>
      <c r="E1047" s="2" t="n">
        <v>3802</v>
      </c>
      <c r="F1047" s="5" t="n">
        <f aca="false">VLOOKUP(D1047,Lookup!$A$2:$B$4,2,FALSE())</f>
        <v>0.15</v>
      </c>
      <c r="G1047" s="2" t="n">
        <f aca="false">ROUND(E1047*F1047,2)</f>
        <v>570.3</v>
      </c>
      <c r="H1047" s="2" t="n">
        <f aca="false">E1047+G1047</f>
        <v>4372.3</v>
      </c>
      <c r="I1047" s="3" t="s">
        <v>22</v>
      </c>
      <c r="J1047" s="0" t="str">
        <f aca="false">_xlfn.XLOOKUP(C1047,Departments!$A$2:$A$6,Departments!$B$2:$B$6,"Unknown")</f>
        <v>Finance</v>
      </c>
    </row>
    <row r="1048" customFormat="false" ht="15" hidden="false" customHeight="false" outlineLevel="0" collapsed="false">
      <c r="A1048" s="0" t="s">
        <v>1075</v>
      </c>
      <c r="B1048" s="4" t="n">
        <v>45975</v>
      </c>
      <c r="C1048" s="0" t="s">
        <v>24</v>
      </c>
      <c r="D1048" s="3" t="s">
        <v>28</v>
      </c>
      <c r="E1048" s="2" t="n">
        <v>3839</v>
      </c>
      <c r="F1048" s="5" t="n">
        <f aca="false">VLOOKUP(D1048,Lookup!$A$2:$B$4,2,FALSE())</f>
        <v>0.05</v>
      </c>
      <c r="G1048" s="2" t="n">
        <f aca="false">ROUND(E1048*F1048,2)</f>
        <v>191.95</v>
      </c>
      <c r="H1048" s="2" t="n">
        <f aca="false">E1048+G1048</f>
        <v>4030.95</v>
      </c>
      <c r="I1048" s="3" t="s">
        <v>22</v>
      </c>
      <c r="J1048" s="0" t="str">
        <f aca="false">_xlfn.XLOOKUP(C1048,Departments!$A$2:$A$6,Departments!$B$2:$B$6,"Unknown")</f>
        <v>Quality</v>
      </c>
    </row>
    <row r="1049" customFormat="false" ht="15" hidden="false" customHeight="false" outlineLevel="0" collapsed="false">
      <c r="A1049" s="0" t="s">
        <v>1076</v>
      </c>
      <c r="B1049" s="4" t="n">
        <v>45976</v>
      </c>
      <c r="C1049" s="0" t="s">
        <v>27</v>
      </c>
      <c r="D1049" s="3" t="s">
        <v>21</v>
      </c>
      <c r="E1049" s="2" t="n">
        <v>3876</v>
      </c>
      <c r="F1049" s="5" t="n">
        <f aca="false">VLOOKUP(D1049,Lookup!$A$2:$B$4,2,FALSE())</f>
        <v>0.1</v>
      </c>
      <c r="G1049" s="2" t="n">
        <f aca="false">ROUND(E1049*F1049,2)</f>
        <v>387.6</v>
      </c>
      <c r="H1049" s="2" t="n">
        <f aca="false">E1049+G1049</f>
        <v>4263.6</v>
      </c>
      <c r="I1049" s="3" t="s">
        <v>22</v>
      </c>
      <c r="J1049" s="0" t="str">
        <f aca="false">_xlfn.XLOOKUP(C1049,Departments!$A$2:$A$6,Departments!$B$2:$B$6,"Unknown")</f>
        <v>Human Resources</v>
      </c>
    </row>
    <row r="1050" customFormat="false" ht="15" hidden="false" customHeight="false" outlineLevel="0" collapsed="false">
      <c r="A1050" s="0" t="s">
        <v>1077</v>
      </c>
      <c r="B1050" s="4" t="n">
        <v>45977</v>
      </c>
      <c r="C1050" s="0" t="s">
        <v>30</v>
      </c>
      <c r="D1050" s="3" t="s">
        <v>25</v>
      </c>
      <c r="E1050" s="2" t="n">
        <v>3913</v>
      </c>
      <c r="F1050" s="5" t="n">
        <f aca="false">VLOOKUP(D1050,Lookup!$A$2:$B$4,2,FALSE())</f>
        <v>0.15</v>
      </c>
      <c r="G1050" s="2" t="n">
        <f aca="false">ROUND(E1050*F1050,2)</f>
        <v>586.95</v>
      </c>
      <c r="H1050" s="2" t="n">
        <f aca="false">E1050+G1050</f>
        <v>4499.95</v>
      </c>
      <c r="I1050" s="3" t="s">
        <v>22</v>
      </c>
      <c r="J1050" s="0" t="str">
        <f aca="false">_xlfn.XLOOKUP(C1050,Departments!$A$2:$A$6,Departments!$B$2:$B$6,"Unknown")</f>
        <v>Technology</v>
      </c>
    </row>
    <row r="1051" customFormat="false" ht="15" hidden="false" customHeight="false" outlineLevel="0" collapsed="false">
      <c r="A1051" s="0" t="s">
        <v>1078</v>
      </c>
      <c r="B1051" s="4" t="n">
        <v>45978</v>
      </c>
      <c r="C1051" s="0" t="s">
        <v>32</v>
      </c>
      <c r="D1051" s="3" t="s">
        <v>28</v>
      </c>
      <c r="E1051" s="2" t="n">
        <v>3950</v>
      </c>
      <c r="F1051" s="5" t="n">
        <f aca="false">VLOOKUP(D1051,Lookup!$A$2:$B$4,2,FALSE())</f>
        <v>0.05</v>
      </c>
      <c r="G1051" s="2" t="n">
        <f aca="false">ROUND(E1051*F1051,2)</f>
        <v>197.5</v>
      </c>
      <c r="H1051" s="2" t="n">
        <f aca="false">E1051+G1051</f>
        <v>4147.5</v>
      </c>
      <c r="I1051" s="3" t="s">
        <v>35</v>
      </c>
      <c r="J1051" s="0" t="str">
        <f aca="false">_xlfn.XLOOKUP(C1051,Departments!$A$2:$A$6,Departments!$B$2:$B$6,"Unknown")</f>
        <v>Operations</v>
      </c>
    </row>
    <row r="1052" customFormat="false" ht="15" hidden="false" customHeight="false" outlineLevel="0" collapsed="false">
      <c r="A1052" s="0" t="s">
        <v>1079</v>
      </c>
      <c r="B1052" s="4" t="n">
        <v>45979</v>
      </c>
      <c r="C1052" s="0" t="s">
        <v>20</v>
      </c>
      <c r="D1052" s="3" t="s">
        <v>21</v>
      </c>
      <c r="E1052" s="2" t="n">
        <v>3987</v>
      </c>
      <c r="F1052" s="5" t="n">
        <f aca="false">VLOOKUP(D1052,Lookup!$A$2:$B$4,2,FALSE())</f>
        <v>0.1</v>
      </c>
      <c r="G1052" s="2" t="n">
        <f aca="false">ROUND(E1052*F1052,2)</f>
        <v>398.7</v>
      </c>
      <c r="H1052" s="2" t="n">
        <f aca="false">E1052+G1052</f>
        <v>4385.7</v>
      </c>
      <c r="I1052" s="3" t="s">
        <v>22</v>
      </c>
      <c r="J1052" s="0" t="str">
        <f aca="false">_xlfn.XLOOKUP(C1052,Departments!$A$2:$A$6,Departments!$B$2:$B$6,"Unknown")</f>
        <v>Finance</v>
      </c>
    </row>
    <row r="1053" customFormat="false" ht="15" hidden="false" customHeight="false" outlineLevel="0" collapsed="false">
      <c r="A1053" s="0" t="s">
        <v>1080</v>
      </c>
      <c r="B1053" s="4" t="n">
        <v>45980</v>
      </c>
      <c r="C1053" s="0" t="s">
        <v>24</v>
      </c>
      <c r="D1053" s="3" t="s">
        <v>25</v>
      </c>
      <c r="E1053" s="2" t="n">
        <v>4024</v>
      </c>
      <c r="F1053" s="5" t="n">
        <f aca="false">VLOOKUP(D1053,Lookup!$A$2:$B$4,2,FALSE())</f>
        <v>0.15</v>
      </c>
      <c r="G1053" s="2" t="n">
        <f aca="false">ROUND(E1053*F1053,2)</f>
        <v>603.6</v>
      </c>
      <c r="H1053" s="2" t="n">
        <f aca="false">E1053+G1053</f>
        <v>4627.6</v>
      </c>
      <c r="I1053" s="3" t="s">
        <v>22</v>
      </c>
      <c r="J1053" s="0" t="str">
        <f aca="false">_xlfn.XLOOKUP(C1053,Departments!$A$2:$A$6,Departments!$B$2:$B$6,"Unknown")</f>
        <v>Quality</v>
      </c>
    </row>
    <row r="1054" customFormat="false" ht="15" hidden="false" customHeight="false" outlineLevel="0" collapsed="false">
      <c r="A1054" s="0" t="s">
        <v>1081</v>
      </c>
      <c r="B1054" s="4" t="n">
        <v>45981</v>
      </c>
      <c r="C1054" s="0" t="s">
        <v>27</v>
      </c>
      <c r="D1054" s="3" t="s">
        <v>28</v>
      </c>
      <c r="E1054" s="2" t="n">
        <v>4061</v>
      </c>
      <c r="F1054" s="5" t="n">
        <f aca="false">VLOOKUP(D1054,Lookup!$A$2:$B$4,2,FALSE())</f>
        <v>0.05</v>
      </c>
      <c r="G1054" s="2" t="n">
        <f aca="false">ROUND(E1054*F1054,2)</f>
        <v>203.05</v>
      </c>
      <c r="H1054" s="2" t="n">
        <f aca="false">E1054+G1054</f>
        <v>4264.05</v>
      </c>
      <c r="I1054" s="3" t="s">
        <v>22</v>
      </c>
      <c r="J1054" s="0" t="str">
        <f aca="false">_xlfn.XLOOKUP(C1054,Departments!$A$2:$A$6,Departments!$B$2:$B$6,"Unknown")</f>
        <v>Human Resources</v>
      </c>
    </row>
    <row r="1055" customFormat="false" ht="15" hidden="false" customHeight="false" outlineLevel="0" collapsed="false">
      <c r="A1055" s="0" t="s">
        <v>1082</v>
      </c>
      <c r="B1055" s="4" t="n">
        <v>45982</v>
      </c>
      <c r="C1055" s="0" t="s">
        <v>30</v>
      </c>
      <c r="D1055" s="3" t="s">
        <v>21</v>
      </c>
      <c r="E1055" s="2" t="n">
        <v>4098</v>
      </c>
      <c r="F1055" s="5" t="n">
        <f aca="false">VLOOKUP(D1055,Lookup!$A$2:$B$4,2,FALSE())</f>
        <v>0.1</v>
      </c>
      <c r="G1055" s="2" t="n">
        <f aca="false">ROUND(E1055*F1055,2)</f>
        <v>409.8</v>
      </c>
      <c r="H1055" s="2" t="n">
        <f aca="false">E1055+G1055</f>
        <v>4507.8</v>
      </c>
      <c r="I1055" s="3" t="s">
        <v>22</v>
      </c>
      <c r="J1055" s="0" t="str">
        <f aca="false">_xlfn.XLOOKUP(C1055,Departments!$A$2:$A$6,Departments!$B$2:$B$6,"Unknown")</f>
        <v>Technology</v>
      </c>
    </row>
    <row r="1056" customFormat="false" ht="15" hidden="false" customHeight="false" outlineLevel="0" collapsed="false">
      <c r="A1056" s="0" t="s">
        <v>1083</v>
      </c>
      <c r="B1056" s="4" t="n">
        <v>45983</v>
      </c>
      <c r="C1056" s="0" t="s">
        <v>32</v>
      </c>
      <c r="D1056" s="3" t="s">
        <v>25</v>
      </c>
      <c r="E1056" s="2" t="n">
        <v>4135</v>
      </c>
      <c r="F1056" s="5" t="n">
        <f aca="false">VLOOKUP(D1056,Lookup!$A$2:$B$4,2,FALSE())</f>
        <v>0.15</v>
      </c>
      <c r="G1056" s="2" t="n">
        <f aca="false">ROUND(E1056*F1056,2)</f>
        <v>620.25</v>
      </c>
      <c r="H1056" s="2" t="n">
        <f aca="false">E1056+G1056</f>
        <v>4755.25</v>
      </c>
      <c r="I1056" s="3" t="s">
        <v>22</v>
      </c>
      <c r="J1056" s="0" t="str">
        <f aca="false">_xlfn.XLOOKUP(C1056,Departments!$A$2:$A$6,Departments!$B$2:$B$6,"Unknown")</f>
        <v>Operations</v>
      </c>
    </row>
    <row r="1057" customFormat="false" ht="15" hidden="false" customHeight="false" outlineLevel="0" collapsed="false">
      <c r="A1057" s="0" t="s">
        <v>1084</v>
      </c>
      <c r="B1057" s="4" t="n">
        <v>45984</v>
      </c>
      <c r="C1057" s="0" t="s">
        <v>20</v>
      </c>
      <c r="D1057" s="3" t="s">
        <v>28</v>
      </c>
      <c r="E1057" s="2" t="n">
        <v>4172</v>
      </c>
      <c r="F1057" s="5" t="n">
        <f aca="false">VLOOKUP(D1057,Lookup!$A$2:$B$4,2,FALSE())</f>
        <v>0.05</v>
      </c>
      <c r="G1057" s="2" t="n">
        <f aca="false">ROUND(E1057*F1057,2)</f>
        <v>208.6</v>
      </c>
      <c r="H1057" s="2" t="n">
        <f aca="false">E1057+G1057</f>
        <v>4380.6</v>
      </c>
      <c r="I1057" s="3" t="s">
        <v>22</v>
      </c>
      <c r="J1057" s="0" t="str">
        <f aca="false">_xlfn.XLOOKUP(C1057,Departments!$A$2:$A$6,Departments!$B$2:$B$6,"Unknown")</f>
        <v>Finance</v>
      </c>
    </row>
    <row r="1058" customFormat="false" ht="15" hidden="false" customHeight="false" outlineLevel="0" collapsed="false">
      <c r="A1058" s="0" t="s">
        <v>1085</v>
      </c>
      <c r="B1058" s="4" t="n">
        <v>45985</v>
      </c>
      <c r="C1058" s="0" t="s">
        <v>24</v>
      </c>
      <c r="D1058" s="3" t="s">
        <v>21</v>
      </c>
      <c r="E1058" s="2" t="n">
        <v>4209</v>
      </c>
      <c r="F1058" s="5" t="n">
        <f aca="false">VLOOKUP(D1058,Lookup!$A$2:$B$4,2,FALSE())</f>
        <v>0.1</v>
      </c>
      <c r="G1058" s="2" t="n">
        <f aca="false">ROUND(E1058*F1058,2)</f>
        <v>420.9</v>
      </c>
      <c r="H1058" s="2" t="n">
        <f aca="false">E1058+G1058</f>
        <v>4629.9</v>
      </c>
      <c r="I1058" s="3" t="s">
        <v>35</v>
      </c>
      <c r="J1058" s="0" t="str">
        <f aca="false">_xlfn.XLOOKUP(C1058,Departments!$A$2:$A$6,Departments!$B$2:$B$6,"Unknown")</f>
        <v>Quality</v>
      </c>
    </row>
    <row r="1059" customFormat="false" ht="15" hidden="false" customHeight="false" outlineLevel="0" collapsed="false">
      <c r="A1059" s="0" t="s">
        <v>1086</v>
      </c>
      <c r="B1059" s="4" t="n">
        <v>45986</v>
      </c>
      <c r="C1059" s="0" t="s">
        <v>27</v>
      </c>
      <c r="D1059" s="3" t="s">
        <v>25</v>
      </c>
      <c r="E1059" s="2" t="n">
        <v>4246</v>
      </c>
      <c r="F1059" s="5" t="n">
        <f aca="false">VLOOKUP(D1059,Lookup!$A$2:$B$4,2,FALSE())</f>
        <v>0.15</v>
      </c>
      <c r="G1059" s="2" t="n">
        <f aca="false">ROUND(E1059*F1059,2)</f>
        <v>636.9</v>
      </c>
      <c r="H1059" s="2" t="n">
        <f aca="false">E1059+G1059</f>
        <v>4882.9</v>
      </c>
      <c r="I1059" s="3" t="s">
        <v>22</v>
      </c>
      <c r="J1059" s="0" t="str">
        <f aca="false">_xlfn.XLOOKUP(C1059,Departments!$A$2:$A$6,Departments!$B$2:$B$6,"Unknown")</f>
        <v>Human Resources</v>
      </c>
    </row>
    <row r="1060" customFormat="false" ht="15" hidden="false" customHeight="false" outlineLevel="0" collapsed="false">
      <c r="A1060" s="0" t="s">
        <v>1087</v>
      </c>
      <c r="B1060" s="4" t="n">
        <v>45987</v>
      </c>
      <c r="C1060" s="0" t="s">
        <v>30</v>
      </c>
      <c r="D1060" s="3" t="s">
        <v>28</v>
      </c>
      <c r="E1060" s="2" t="n">
        <v>4283</v>
      </c>
      <c r="F1060" s="5" t="n">
        <f aca="false">VLOOKUP(D1060,Lookup!$A$2:$B$4,2,FALSE())</f>
        <v>0.05</v>
      </c>
      <c r="G1060" s="2" t="n">
        <f aca="false">ROUND(E1060*F1060,2)</f>
        <v>214.15</v>
      </c>
      <c r="H1060" s="2" t="n">
        <f aca="false">E1060+G1060</f>
        <v>4497.15</v>
      </c>
      <c r="I1060" s="3" t="s">
        <v>22</v>
      </c>
      <c r="J1060" s="0" t="str">
        <f aca="false">_xlfn.XLOOKUP(C1060,Departments!$A$2:$A$6,Departments!$B$2:$B$6,"Unknown")</f>
        <v>Technology</v>
      </c>
    </row>
    <row r="1061" customFormat="false" ht="15" hidden="false" customHeight="false" outlineLevel="0" collapsed="false">
      <c r="A1061" s="0" t="s">
        <v>1088</v>
      </c>
      <c r="B1061" s="4" t="n">
        <v>45988</v>
      </c>
      <c r="C1061" s="0" t="s">
        <v>32</v>
      </c>
      <c r="D1061" s="3" t="s">
        <v>21</v>
      </c>
      <c r="E1061" s="2" t="n">
        <v>4320</v>
      </c>
      <c r="F1061" s="5" t="n">
        <f aca="false">VLOOKUP(D1061,Lookup!$A$2:$B$4,2,FALSE())</f>
        <v>0.1</v>
      </c>
      <c r="G1061" s="2" t="n">
        <f aca="false">ROUND(E1061*F1061,2)</f>
        <v>432</v>
      </c>
      <c r="H1061" s="2" t="n">
        <f aca="false">E1061+G1061</f>
        <v>4752</v>
      </c>
      <c r="I1061" s="3" t="s">
        <v>22</v>
      </c>
      <c r="J1061" s="0" t="str">
        <f aca="false">_xlfn.XLOOKUP(C1061,Departments!$A$2:$A$6,Departments!$B$2:$B$6,"Unknown")</f>
        <v>Operations</v>
      </c>
    </row>
    <row r="1062" customFormat="false" ht="15" hidden="false" customHeight="false" outlineLevel="0" collapsed="false">
      <c r="A1062" s="0" t="s">
        <v>1089</v>
      </c>
      <c r="B1062" s="4" t="n">
        <v>45989</v>
      </c>
      <c r="C1062" s="0" t="s">
        <v>20</v>
      </c>
      <c r="D1062" s="3" t="s">
        <v>25</v>
      </c>
      <c r="E1062" s="2" t="n">
        <v>4357</v>
      </c>
      <c r="F1062" s="5" t="n">
        <f aca="false">VLOOKUP(D1062,Lookup!$A$2:$B$4,2,FALSE())</f>
        <v>0.15</v>
      </c>
      <c r="G1062" s="2" t="n">
        <f aca="false">ROUND(E1062*F1062,2)</f>
        <v>653.55</v>
      </c>
      <c r="H1062" s="2" t="n">
        <f aca="false">E1062+G1062</f>
        <v>5010.55</v>
      </c>
      <c r="I1062" s="3" t="s">
        <v>22</v>
      </c>
      <c r="J1062" s="0" t="str">
        <f aca="false">_xlfn.XLOOKUP(C1062,Departments!$A$2:$A$6,Departments!$B$2:$B$6,"Unknown")</f>
        <v>Finance</v>
      </c>
    </row>
    <row r="1063" customFormat="false" ht="15" hidden="false" customHeight="false" outlineLevel="0" collapsed="false">
      <c r="A1063" s="0" t="s">
        <v>1090</v>
      </c>
      <c r="B1063" s="4" t="n">
        <v>45990</v>
      </c>
      <c r="C1063" s="0" t="s">
        <v>24</v>
      </c>
      <c r="D1063" s="3" t="s">
        <v>28</v>
      </c>
      <c r="E1063" s="2" t="n">
        <v>4394</v>
      </c>
      <c r="F1063" s="5" t="n">
        <f aca="false">VLOOKUP(D1063,Lookup!$A$2:$B$4,2,FALSE())</f>
        <v>0.05</v>
      </c>
      <c r="G1063" s="2" t="n">
        <f aca="false">ROUND(E1063*F1063,2)</f>
        <v>219.7</v>
      </c>
      <c r="H1063" s="2" t="n">
        <f aca="false">E1063+G1063</f>
        <v>4613.7</v>
      </c>
      <c r="I1063" s="3" t="s">
        <v>22</v>
      </c>
      <c r="J1063" s="0" t="str">
        <f aca="false">_xlfn.XLOOKUP(C1063,Departments!$A$2:$A$6,Departments!$B$2:$B$6,"Unknown")</f>
        <v>Quality</v>
      </c>
    </row>
    <row r="1064" customFormat="false" ht="15" hidden="false" customHeight="false" outlineLevel="0" collapsed="false">
      <c r="A1064" s="0" t="s">
        <v>1091</v>
      </c>
      <c r="B1064" s="4" t="n">
        <v>45991</v>
      </c>
      <c r="C1064" s="0" t="s">
        <v>27</v>
      </c>
      <c r="D1064" s="3" t="s">
        <v>21</v>
      </c>
      <c r="E1064" s="2" t="n">
        <v>4431</v>
      </c>
      <c r="F1064" s="5" t="n">
        <f aca="false">VLOOKUP(D1064,Lookup!$A$2:$B$4,2,FALSE())</f>
        <v>0.1</v>
      </c>
      <c r="G1064" s="2" t="n">
        <f aca="false">ROUND(E1064*F1064,2)</f>
        <v>443.1</v>
      </c>
      <c r="H1064" s="2" t="n">
        <f aca="false">E1064+G1064</f>
        <v>4874.1</v>
      </c>
      <c r="I1064" s="3" t="s">
        <v>22</v>
      </c>
      <c r="J1064" s="0" t="str">
        <f aca="false">_xlfn.XLOOKUP(C1064,Departments!$A$2:$A$6,Departments!$B$2:$B$6,"Unknown")</f>
        <v>Human Resources</v>
      </c>
    </row>
    <row r="1065" customFormat="false" ht="15" hidden="false" customHeight="false" outlineLevel="0" collapsed="false">
      <c r="A1065" s="0" t="s">
        <v>1092</v>
      </c>
      <c r="B1065" s="4" t="n">
        <v>45992</v>
      </c>
      <c r="C1065" s="0" t="s">
        <v>30</v>
      </c>
      <c r="D1065" s="3" t="s">
        <v>25</v>
      </c>
      <c r="E1065" s="2" t="n">
        <v>4468</v>
      </c>
      <c r="F1065" s="5" t="n">
        <f aca="false">VLOOKUP(D1065,Lookup!$A$2:$B$4,2,FALSE())</f>
        <v>0.15</v>
      </c>
      <c r="G1065" s="2" t="n">
        <f aca="false">ROUND(E1065*F1065,2)</f>
        <v>670.2</v>
      </c>
      <c r="H1065" s="2" t="n">
        <f aca="false">E1065+G1065</f>
        <v>5138.2</v>
      </c>
      <c r="I1065" s="3" t="s">
        <v>35</v>
      </c>
      <c r="J1065" s="0" t="str">
        <f aca="false">_xlfn.XLOOKUP(C1065,Departments!$A$2:$A$6,Departments!$B$2:$B$6,"Unknown")</f>
        <v>Technology</v>
      </c>
    </row>
    <row r="1066" customFormat="false" ht="15" hidden="false" customHeight="false" outlineLevel="0" collapsed="false">
      <c r="A1066" s="0" t="s">
        <v>1093</v>
      </c>
      <c r="B1066" s="4" t="n">
        <v>45993</v>
      </c>
      <c r="C1066" s="0" t="s">
        <v>32</v>
      </c>
      <c r="D1066" s="3" t="s">
        <v>28</v>
      </c>
      <c r="E1066" s="2" t="n">
        <v>4505</v>
      </c>
      <c r="F1066" s="5" t="n">
        <f aca="false">VLOOKUP(D1066,Lookup!$A$2:$B$4,2,FALSE())</f>
        <v>0.05</v>
      </c>
      <c r="G1066" s="2" t="n">
        <f aca="false">ROUND(E1066*F1066,2)</f>
        <v>225.25</v>
      </c>
      <c r="H1066" s="2" t="n">
        <f aca="false">E1066+G1066</f>
        <v>4730.25</v>
      </c>
      <c r="I1066" s="3" t="s">
        <v>22</v>
      </c>
      <c r="J1066" s="0" t="str">
        <f aca="false">_xlfn.XLOOKUP(C1066,Departments!$A$2:$A$6,Departments!$B$2:$B$6,"Unknown")</f>
        <v>Operations</v>
      </c>
    </row>
    <row r="1067" customFormat="false" ht="15" hidden="false" customHeight="false" outlineLevel="0" collapsed="false">
      <c r="A1067" s="0" t="s">
        <v>1094</v>
      </c>
      <c r="B1067" s="4" t="n">
        <v>45994</v>
      </c>
      <c r="C1067" s="0" t="s">
        <v>20</v>
      </c>
      <c r="D1067" s="3" t="s">
        <v>21</v>
      </c>
      <c r="E1067" s="2" t="n">
        <v>4542</v>
      </c>
      <c r="F1067" s="5" t="n">
        <f aca="false">VLOOKUP(D1067,Lookup!$A$2:$B$4,2,FALSE())</f>
        <v>0.1</v>
      </c>
      <c r="G1067" s="2" t="n">
        <f aca="false">ROUND(E1067*F1067,2)</f>
        <v>454.2</v>
      </c>
      <c r="H1067" s="2" t="n">
        <f aca="false">E1067+G1067</f>
        <v>4996.2</v>
      </c>
      <c r="I1067" s="3" t="s">
        <v>22</v>
      </c>
      <c r="J1067" s="0" t="str">
        <f aca="false">_xlfn.XLOOKUP(C1067,Departments!$A$2:$A$6,Departments!$B$2:$B$6,"Unknown")</f>
        <v>Finance</v>
      </c>
    </row>
    <row r="1068" customFormat="false" ht="15" hidden="false" customHeight="false" outlineLevel="0" collapsed="false">
      <c r="A1068" s="0" t="s">
        <v>1095</v>
      </c>
      <c r="B1068" s="4" t="n">
        <v>45995</v>
      </c>
      <c r="C1068" s="0" t="s">
        <v>24</v>
      </c>
      <c r="D1068" s="3" t="s">
        <v>25</v>
      </c>
      <c r="E1068" s="2" t="n">
        <v>4579</v>
      </c>
      <c r="F1068" s="5" t="n">
        <f aca="false">VLOOKUP(D1068,Lookup!$A$2:$B$4,2,FALSE())</f>
        <v>0.15</v>
      </c>
      <c r="G1068" s="2" t="n">
        <f aca="false">ROUND(E1068*F1068,2)</f>
        <v>686.85</v>
      </c>
      <c r="H1068" s="2" t="n">
        <f aca="false">E1068+G1068</f>
        <v>5265.85</v>
      </c>
      <c r="I1068" s="3" t="s">
        <v>22</v>
      </c>
      <c r="J1068" s="0" t="str">
        <f aca="false">_xlfn.XLOOKUP(C1068,Departments!$A$2:$A$6,Departments!$B$2:$B$6,"Unknown")</f>
        <v>Quality</v>
      </c>
    </row>
    <row r="1069" customFormat="false" ht="15" hidden="false" customHeight="false" outlineLevel="0" collapsed="false">
      <c r="A1069" s="0" t="s">
        <v>1096</v>
      </c>
      <c r="B1069" s="4" t="n">
        <v>45996</v>
      </c>
      <c r="C1069" s="0" t="s">
        <v>27</v>
      </c>
      <c r="D1069" s="3" t="s">
        <v>28</v>
      </c>
      <c r="E1069" s="2" t="n">
        <v>4616</v>
      </c>
      <c r="F1069" s="5" t="n">
        <f aca="false">VLOOKUP(D1069,Lookup!$A$2:$B$4,2,FALSE())</f>
        <v>0.05</v>
      </c>
      <c r="G1069" s="2" t="n">
        <f aca="false">ROUND(E1069*F1069,2)</f>
        <v>230.8</v>
      </c>
      <c r="H1069" s="2" t="n">
        <f aca="false">E1069+G1069</f>
        <v>4846.8</v>
      </c>
      <c r="I1069" s="3" t="s">
        <v>22</v>
      </c>
      <c r="J1069" s="0" t="str">
        <f aca="false">_xlfn.XLOOKUP(C1069,Departments!$A$2:$A$6,Departments!$B$2:$B$6,"Unknown")</f>
        <v>Human Resources</v>
      </c>
    </row>
    <row r="1070" customFormat="false" ht="15" hidden="false" customHeight="false" outlineLevel="0" collapsed="false">
      <c r="A1070" s="0" t="s">
        <v>1097</v>
      </c>
      <c r="B1070" s="4" t="n">
        <v>45997</v>
      </c>
      <c r="C1070" s="0" t="s">
        <v>30</v>
      </c>
      <c r="D1070" s="3" t="s">
        <v>21</v>
      </c>
      <c r="E1070" s="2" t="n">
        <v>4653</v>
      </c>
      <c r="F1070" s="5" t="n">
        <f aca="false">VLOOKUP(D1070,Lookup!$A$2:$B$4,2,FALSE())</f>
        <v>0.1</v>
      </c>
      <c r="G1070" s="2" t="n">
        <f aca="false">ROUND(E1070*F1070,2)</f>
        <v>465.3</v>
      </c>
      <c r="H1070" s="2" t="n">
        <f aca="false">E1070+G1070</f>
        <v>5118.3</v>
      </c>
      <c r="I1070" s="3" t="s">
        <v>22</v>
      </c>
      <c r="J1070" s="0" t="str">
        <f aca="false">_xlfn.XLOOKUP(C1070,Departments!$A$2:$A$6,Departments!$B$2:$B$6,"Unknown")</f>
        <v>Technology</v>
      </c>
    </row>
    <row r="1071" customFormat="false" ht="15" hidden="false" customHeight="false" outlineLevel="0" collapsed="false">
      <c r="A1071" s="0" t="s">
        <v>1098</v>
      </c>
      <c r="B1071" s="4" t="n">
        <v>45998</v>
      </c>
      <c r="C1071" s="0" t="s">
        <v>32</v>
      </c>
      <c r="D1071" s="3" t="s">
        <v>25</v>
      </c>
      <c r="E1071" s="2" t="n">
        <v>4690</v>
      </c>
      <c r="F1071" s="5" t="n">
        <f aca="false">VLOOKUP(D1071,Lookup!$A$2:$B$4,2,FALSE())</f>
        <v>0.15</v>
      </c>
      <c r="G1071" s="2" t="n">
        <f aca="false">ROUND(E1071*F1071,2)</f>
        <v>703.5</v>
      </c>
      <c r="H1071" s="2" t="n">
        <f aca="false">E1071+G1071</f>
        <v>5393.5</v>
      </c>
      <c r="I1071" s="3" t="s">
        <v>22</v>
      </c>
      <c r="J1071" s="0" t="str">
        <f aca="false">_xlfn.XLOOKUP(C1071,Departments!$A$2:$A$6,Departments!$B$2:$B$6,"Unknown")</f>
        <v>Operations</v>
      </c>
    </row>
    <row r="1072" customFormat="false" ht="15" hidden="false" customHeight="false" outlineLevel="0" collapsed="false">
      <c r="A1072" s="0" t="s">
        <v>1099</v>
      </c>
      <c r="B1072" s="4" t="n">
        <v>45999</v>
      </c>
      <c r="C1072" s="0" t="s">
        <v>20</v>
      </c>
      <c r="D1072" s="3" t="s">
        <v>28</v>
      </c>
      <c r="E1072" s="2" t="n">
        <v>4727</v>
      </c>
      <c r="F1072" s="5" t="n">
        <f aca="false">VLOOKUP(D1072,Lookup!$A$2:$B$4,2,FALSE())</f>
        <v>0.05</v>
      </c>
      <c r="G1072" s="2" t="n">
        <f aca="false">ROUND(E1072*F1072,2)</f>
        <v>236.35</v>
      </c>
      <c r="H1072" s="2" t="n">
        <f aca="false">E1072+G1072</f>
        <v>4963.35</v>
      </c>
      <c r="I1072" s="3" t="s">
        <v>35</v>
      </c>
      <c r="J1072" s="0" t="str">
        <f aca="false">_xlfn.XLOOKUP(C1072,Departments!$A$2:$A$6,Departments!$B$2:$B$6,"Unknown")</f>
        <v>Finance</v>
      </c>
    </row>
    <row r="1073" customFormat="false" ht="15" hidden="false" customHeight="false" outlineLevel="0" collapsed="false">
      <c r="A1073" s="0" t="s">
        <v>1100</v>
      </c>
      <c r="B1073" s="4" t="n">
        <v>46000</v>
      </c>
      <c r="C1073" s="0" t="s">
        <v>24</v>
      </c>
      <c r="D1073" s="3" t="s">
        <v>21</v>
      </c>
      <c r="E1073" s="2" t="n">
        <v>4764</v>
      </c>
      <c r="F1073" s="5" t="n">
        <f aca="false">VLOOKUP(D1073,Lookup!$A$2:$B$4,2,FALSE())</f>
        <v>0.1</v>
      </c>
      <c r="G1073" s="2" t="n">
        <f aca="false">ROUND(E1073*F1073,2)</f>
        <v>476.4</v>
      </c>
      <c r="H1073" s="2" t="n">
        <f aca="false">E1073+G1073</f>
        <v>5240.4</v>
      </c>
      <c r="I1073" s="3" t="s">
        <v>22</v>
      </c>
      <c r="J1073" s="0" t="str">
        <f aca="false">_xlfn.XLOOKUP(C1073,Departments!$A$2:$A$6,Departments!$B$2:$B$6,"Unknown")</f>
        <v>Quality</v>
      </c>
    </row>
    <row r="1074" customFormat="false" ht="15" hidden="false" customHeight="false" outlineLevel="0" collapsed="false">
      <c r="A1074" s="0" t="s">
        <v>1101</v>
      </c>
      <c r="B1074" s="4" t="n">
        <v>46001</v>
      </c>
      <c r="C1074" s="0" t="s">
        <v>27</v>
      </c>
      <c r="D1074" s="3" t="s">
        <v>25</v>
      </c>
      <c r="E1074" s="2" t="n">
        <v>4801</v>
      </c>
      <c r="F1074" s="5" t="n">
        <f aca="false">VLOOKUP(D1074,Lookup!$A$2:$B$4,2,FALSE())</f>
        <v>0.15</v>
      </c>
      <c r="G1074" s="2" t="n">
        <f aca="false">ROUND(E1074*F1074,2)</f>
        <v>720.15</v>
      </c>
      <c r="H1074" s="2" t="n">
        <f aca="false">E1074+G1074</f>
        <v>5521.15</v>
      </c>
      <c r="I1074" s="3" t="s">
        <v>22</v>
      </c>
      <c r="J1074" s="0" t="str">
        <f aca="false">_xlfn.XLOOKUP(C1074,Departments!$A$2:$A$6,Departments!$B$2:$B$6,"Unknown")</f>
        <v>Human Resources</v>
      </c>
    </row>
    <row r="1075" customFormat="false" ht="15" hidden="false" customHeight="false" outlineLevel="0" collapsed="false">
      <c r="A1075" s="0" t="s">
        <v>1102</v>
      </c>
      <c r="B1075" s="4" t="n">
        <v>46002</v>
      </c>
      <c r="C1075" s="0" t="s">
        <v>30</v>
      </c>
      <c r="D1075" s="3" t="s">
        <v>28</v>
      </c>
      <c r="E1075" s="2" t="n">
        <v>4838</v>
      </c>
      <c r="F1075" s="5" t="n">
        <f aca="false">VLOOKUP(D1075,Lookup!$A$2:$B$4,2,FALSE())</f>
        <v>0.05</v>
      </c>
      <c r="G1075" s="2" t="n">
        <f aca="false">ROUND(E1075*F1075,2)</f>
        <v>241.9</v>
      </c>
      <c r="H1075" s="2" t="n">
        <f aca="false">E1075+G1075</f>
        <v>5079.9</v>
      </c>
      <c r="I1075" s="3" t="s">
        <v>22</v>
      </c>
      <c r="J1075" s="0" t="str">
        <f aca="false">_xlfn.XLOOKUP(C1075,Departments!$A$2:$A$6,Departments!$B$2:$B$6,"Unknown")</f>
        <v>Technology</v>
      </c>
    </row>
    <row r="1076" customFormat="false" ht="15" hidden="false" customHeight="false" outlineLevel="0" collapsed="false">
      <c r="A1076" s="0" t="s">
        <v>1103</v>
      </c>
      <c r="B1076" s="4" t="n">
        <v>46003</v>
      </c>
      <c r="C1076" s="0" t="s">
        <v>32</v>
      </c>
      <c r="D1076" s="3" t="s">
        <v>21</v>
      </c>
      <c r="E1076" s="2" t="n">
        <v>4875</v>
      </c>
      <c r="F1076" s="5" t="n">
        <f aca="false">VLOOKUP(D1076,Lookup!$A$2:$B$4,2,FALSE())</f>
        <v>0.1</v>
      </c>
      <c r="G1076" s="2" t="n">
        <f aca="false">ROUND(E1076*F1076,2)</f>
        <v>487.5</v>
      </c>
      <c r="H1076" s="2" t="n">
        <f aca="false">E1076+G1076</f>
        <v>5362.5</v>
      </c>
      <c r="I1076" s="3" t="s">
        <v>22</v>
      </c>
      <c r="J1076" s="0" t="str">
        <f aca="false">_xlfn.XLOOKUP(C1076,Departments!$A$2:$A$6,Departments!$B$2:$B$6,"Unknown")</f>
        <v>Operations</v>
      </c>
    </row>
    <row r="1077" customFormat="false" ht="15" hidden="false" customHeight="false" outlineLevel="0" collapsed="false">
      <c r="A1077" s="0" t="s">
        <v>1104</v>
      </c>
      <c r="B1077" s="4" t="n">
        <v>46004</v>
      </c>
      <c r="C1077" s="0" t="s">
        <v>20</v>
      </c>
      <c r="D1077" s="3" t="s">
        <v>25</v>
      </c>
      <c r="E1077" s="2" t="n">
        <v>4912</v>
      </c>
      <c r="F1077" s="5" t="n">
        <f aca="false">VLOOKUP(D1077,Lookup!$A$2:$B$4,2,FALSE())</f>
        <v>0.15</v>
      </c>
      <c r="G1077" s="2" t="n">
        <f aca="false">ROUND(E1077*F1077,2)</f>
        <v>736.8</v>
      </c>
      <c r="H1077" s="2" t="n">
        <f aca="false">E1077+G1077</f>
        <v>5648.8</v>
      </c>
      <c r="I1077" s="3" t="s">
        <v>22</v>
      </c>
      <c r="J1077" s="0" t="str">
        <f aca="false">_xlfn.XLOOKUP(C1077,Departments!$A$2:$A$6,Departments!$B$2:$B$6,"Unknown")</f>
        <v>Finance</v>
      </c>
    </row>
    <row r="1078" customFormat="false" ht="15" hidden="false" customHeight="false" outlineLevel="0" collapsed="false">
      <c r="A1078" s="0" t="s">
        <v>1105</v>
      </c>
      <c r="B1078" s="4" t="n">
        <v>46005</v>
      </c>
      <c r="C1078" s="0" t="s">
        <v>24</v>
      </c>
      <c r="D1078" s="3" t="s">
        <v>28</v>
      </c>
      <c r="E1078" s="2" t="n">
        <v>4949</v>
      </c>
      <c r="F1078" s="5" t="n">
        <f aca="false">VLOOKUP(D1078,Lookup!$A$2:$B$4,2,FALSE())</f>
        <v>0.05</v>
      </c>
      <c r="G1078" s="2" t="n">
        <f aca="false">ROUND(E1078*F1078,2)</f>
        <v>247.45</v>
      </c>
      <c r="H1078" s="2" t="n">
        <f aca="false">E1078+G1078</f>
        <v>5196.45</v>
      </c>
      <c r="I1078" s="3" t="s">
        <v>22</v>
      </c>
      <c r="J1078" s="0" t="str">
        <f aca="false">_xlfn.XLOOKUP(C1078,Departments!$A$2:$A$6,Departments!$B$2:$B$6,"Unknown")</f>
        <v>Quality</v>
      </c>
    </row>
    <row r="1079" customFormat="false" ht="15" hidden="false" customHeight="false" outlineLevel="0" collapsed="false">
      <c r="A1079" s="0" t="s">
        <v>1106</v>
      </c>
      <c r="B1079" s="4" t="n">
        <v>46006</v>
      </c>
      <c r="C1079" s="0" t="s">
        <v>27</v>
      </c>
      <c r="D1079" s="3" t="s">
        <v>21</v>
      </c>
      <c r="E1079" s="2" t="n">
        <v>4986</v>
      </c>
      <c r="F1079" s="5" t="n">
        <f aca="false">VLOOKUP(D1079,Lookup!$A$2:$B$4,2,FALSE())</f>
        <v>0.1</v>
      </c>
      <c r="G1079" s="2" t="n">
        <f aca="false">ROUND(E1079*F1079,2)</f>
        <v>498.6</v>
      </c>
      <c r="H1079" s="2" t="n">
        <f aca="false">E1079+G1079</f>
        <v>5484.6</v>
      </c>
      <c r="I1079" s="3" t="s">
        <v>35</v>
      </c>
      <c r="J1079" s="0" t="str">
        <f aca="false">_xlfn.XLOOKUP(C1079,Departments!$A$2:$A$6,Departments!$B$2:$B$6,"Unknown")</f>
        <v>Human Resources</v>
      </c>
    </row>
    <row r="1080" customFormat="false" ht="15" hidden="false" customHeight="false" outlineLevel="0" collapsed="false">
      <c r="A1080" s="0" t="s">
        <v>1107</v>
      </c>
      <c r="B1080" s="4" t="n">
        <v>46007</v>
      </c>
      <c r="C1080" s="0" t="s">
        <v>30</v>
      </c>
      <c r="D1080" s="3" t="s">
        <v>25</v>
      </c>
      <c r="E1080" s="2" t="n">
        <v>5023</v>
      </c>
      <c r="F1080" s="5" t="n">
        <f aca="false">VLOOKUP(D1080,Lookup!$A$2:$B$4,2,FALSE())</f>
        <v>0.15</v>
      </c>
      <c r="G1080" s="2" t="n">
        <f aca="false">ROUND(E1080*F1080,2)</f>
        <v>753.45</v>
      </c>
      <c r="H1080" s="2" t="n">
        <f aca="false">E1080+G1080</f>
        <v>5776.45</v>
      </c>
      <c r="I1080" s="3" t="s">
        <v>22</v>
      </c>
      <c r="J1080" s="0" t="str">
        <f aca="false">_xlfn.XLOOKUP(C1080,Departments!$A$2:$A$6,Departments!$B$2:$B$6,"Unknown")</f>
        <v>Technology</v>
      </c>
    </row>
    <row r="1081" customFormat="false" ht="15" hidden="false" customHeight="false" outlineLevel="0" collapsed="false">
      <c r="A1081" s="0" t="s">
        <v>1108</v>
      </c>
      <c r="B1081" s="4" t="n">
        <v>46008</v>
      </c>
      <c r="C1081" s="0" t="s">
        <v>32</v>
      </c>
      <c r="D1081" s="3" t="s">
        <v>28</v>
      </c>
      <c r="E1081" s="2" t="n">
        <v>5060</v>
      </c>
      <c r="F1081" s="5" t="n">
        <f aca="false">VLOOKUP(D1081,Lookup!$A$2:$B$4,2,FALSE())</f>
        <v>0.05</v>
      </c>
      <c r="G1081" s="2" t="n">
        <f aca="false">ROUND(E1081*F1081,2)</f>
        <v>253</v>
      </c>
      <c r="H1081" s="2" t="n">
        <f aca="false">E1081+G1081</f>
        <v>5313</v>
      </c>
      <c r="I1081" s="3" t="s">
        <v>22</v>
      </c>
      <c r="J1081" s="0" t="str">
        <f aca="false">_xlfn.XLOOKUP(C1081,Departments!$A$2:$A$6,Departments!$B$2:$B$6,"Unknown")</f>
        <v>Operations</v>
      </c>
    </row>
    <row r="1082" customFormat="false" ht="15" hidden="false" customHeight="false" outlineLevel="0" collapsed="false">
      <c r="A1082" s="0" t="s">
        <v>1109</v>
      </c>
      <c r="B1082" s="4" t="n">
        <v>46009</v>
      </c>
      <c r="C1082" s="0" t="s">
        <v>20</v>
      </c>
      <c r="D1082" s="3" t="s">
        <v>21</v>
      </c>
      <c r="E1082" s="2" t="n">
        <v>5097</v>
      </c>
      <c r="F1082" s="5" t="n">
        <f aca="false">VLOOKUP(D1082,Lookup!$A$2:$B$4,2,FALSE())</f>
        <v>0.1</v>
      </c>
      <c r="G1082" s="2" t="n">
        <f aca="false">ROUND(E1082*F1082,2)</f>
        <v>509.7</v>
      </c>
      <c r="H1082" s="2" t="n">
        <f aca="false">E1082+G1082</f>
        <v>5606.7</v>
      </c>
      <c r="I1082" s="3" t="s">
        <v>22</v>
      </c>
      <c r="J1082" s="0" t="str">
        <f aca="false">_xlfn.XLOOKUP(C1082,Departments!$A$2:$A$6,Departments!$B$2:$B$6,"Unknown")</f>
        <v>Finance</v>
      </c>
    </row>
    <row r="1083" customFormat="false" ht="15" hidden="false" customHeight="false" outlineLevel="0" collapsed="false">
      <c r="A1083" s="0" t="s">
        <v>1110</v>
      </c>
      <c r="B1083" s="4" t="n">
        <v>46010</v>
      </c>
      <c r="C1083" s="0" t="s">
        <v>24</v>
      </c>
      <c r="D1083" s="3" t="s">
        <v>25</v>
      </c>
      <c r="E1083" s="2" t="n">
        <v>134</v>
      </c>
      <c r="F1083" s="5" t="n">
        <f aca="false">VLOOKUP(D1083,Lookup!$A$2:$B$4,2,FALSE())</f>
        <v>0.15</v>
      </c>
      <c r="G1083" s="2" t="n">
        <f aca="false">ROUND(E1083*F1083,2)</f>
        <v>20.1</v>
      </c>
      <c r="H1083" s="2" t="n">
        <f aca="false">E1083+G1083</f>
        <v>154.1</v>
      </c>
      <c r="I1083" s="3" t="s">
        <v>22</v>
      </c>
      <c r="J1083" s="0" t="str">
        <f aca="false">_xlfn.XLOOKUP(C1083,Departments!$A$2:$A$6,Departments!$B$2:$B$6,"Unknown")</f>
        <v>Quality</v>
      </c>
    </row>
    <row r="1084" customFormat="false" ht="15" hidden="false" customHeight="false" outlineLevel="0" collapsed="false">
      <c r="A1084" s="0" t="s">
        <v>1111</v>
      </c>
      <c r="B1084" s="4" t="n">
        <v>46011</v>
      </c>
      <c r="C1084" s="0" t="s">
        <v>27</v>
      </c>
      <c r="D1084" s="3" t="s">
        <v>28</v>
      </c>
      <c r="E1084" s="2" t="n">
        <v>171</v>
      </c>
      <c r="F1084" s="5" t="n">
        <f aca="false">VLOOKUP(D1084,Lookup!$A$2:$B$4,2,FALSE())</f>
        <v>0.05</v>
      </c>
      <c r="G1084" s="2" t="n">
        <f aca="false">ROUND(E1084*F1084,2)</f>
        <v>8.55</v>
      </c>
      <c r="H1084" s="2" t="n">
        <f aca="false">E1084+G1084</f>
        <v>179.55</v>
      </c>
      <c r="I1084" s="3" t="s">
        <v>22</v>
      </c>
      <c r="J1084" s="0" t="str">
        <f aca="false">_xlfn.XLOOKUP(C1084,Departments!$A$2:$A$6,Departments!$B$2:$B$6,"Unknown")</f>
        <v>Human Resources</v>
      </c>
    </row>
    <row r="1085" customFormat="false" ht="15" hidden="false" customHeight="false" outlineLevel="0" collapsed="false">
      <c r="A1085" s="0" t="s">
        <v>1112</v>
      </c>
      <c r="B1085" s="4" t="n">
        <v>46012</v>
      </c>
      <c r="C1085" s="0" t="s">
        <v>30</v>
      </c>
      <c r="D1085" s="3" t="s">
        <v>21</v>
      </c>
      <c r="E1085" s="2" t="n">
        <v>208</v>
      </c>
      <c r="F1085" s="5" t="n">
        <f aca="false">VLOOKUP(D1085,Lookup!$A$2:$B$4,2,FALSE())</f>
        <v>0.1</v>
      </c>
      <c r="G1085" s="2" t="n">
        <f aca="false">ROUND(E1085*F1085,2)</f>
        <v>20.8</v>
      </c>
      <c r="H1085" s="2" t="n">
        <f aca="false">E1085+G1085</f>
        <v>228.8</v>
      </c>
      <c r="I1085" s="3" t="s">
        <v>22</v>
      </c>
      <c r="J1085" s="0" t="str">
        <f aca="false">_xlfn.XLOOKUP(C1085,Departments!$A$2:$A$6,Departments!$B$2:$B$6,"Unknown")</f>
        <v>Technology</v>
      </c>
    </row>
    <row r="1086" customFormat="false" ht="15" hidden="false" customHeight="false" outlineLevel="0" collapsed="false">
      <c r="A1086" s="0" t="s">
        <v>1113</v>
      </c>
      <c r="B1086" s="4" t="n">
        <v>46013</v>
      </c>
      <c r="C1086" s="0" t="s">
        <v>32</v>
      </c>
      <c r="D1086" s="3" t="s">
        <v>25</v>
      </c>
      <c r="E1086" s="2" t="n">
        <v>245</v>
      </c>
      <c r="F1086" s="5" t="n">
        <f aca="false">VLOOKUP(D1086,Lookup!$A$2:$B$4,2,FALSE())</f>
        <v>0.15</v>
      </c>
      <c r="G1086" s="2" t="n">
        <f aca="false">ROUND(E1086*F1086,2)</f>
        <v>36.75</v>
      </c>
      <c r="H1086" s="2" t="n">
        <f aca="false">E1086+G1086</f>
        <v>281.75</v>
      </c>
      <c r="I1086" s="3" t="s">
        <v>35</v>
      </c>
      <c r="J1086" s="0" t="str">
        <f aca="false">_xlfn.XLOOKUP(C1086,Departments!$A$2:$A$6,Departments!$B$2:$B$6,"Unknown")</f>
        <v>Operations</v>
      </c>
    </row>
    <row r="1087" customFormat="false" ht="15" hidden="false" customHeight="false" outlineLevel="0" collapsed="false">
      <c r="A1087" s="0" t="s">
        <v>1114</v>
      </c>
      <c r="B1087" s="4" t="n">
        <v>46014</v>
      </c>
      <c r="C1087" s="0" t="s">
        <v>20</v>
      </c>
      <c r="D1087" s="3" t="s">
        <v>28</v>
      </c>
      <c r="E1087" s="2" t="n">
        <v>282</v>
      </c>
      <c r="F1087" s="5" t="n">
        <f aca="false">VLOOKUP(D1087,Lookup!$A$2:$B$4,2,FALSE())</f>
        <v>0.05</v>
      </c>
      <c r="G1087" s="2" t="n">
        <f aca="false">ROUND(E1087*F1087,2)</f>
        <v>14.1</v>
      </c>
      <c r="H1087" s="2" t="n">
        <f aca="false">E1087+G1087</f>
        <v>296.1</v>
      </c>
      <c r="I1087" s="3" t="s">
        <v>22</v>
      </c>
      <c r="J1087" s="0" t="str">
        <f aca="false">_xlfn.XLOOKUP(C1087,Departments!$A$2:$A$6,Departments!$B$2:$B$6,"Unknown")</f>
        <v>Finance</v>
      </c>
    </row>
    <row r="1088" customFormat="false" ht="15" hidden="false" customHeight="false" outlineLevel="0" collapsed="false">
      <c r="A1088" s="0" t="s">
        <v>1115</v>
      </c>
      <c r="B1088" s="4" t="n">
        <v>46015</v>
      </c>
      <c r="C1088" s="0" t="s">
        <v>24</v>
      </c>
      <c r="D1088" s="3" t="s">
        <v>21</v>
      </c>
      <c r="E1088" s="2" t="n">
        <v>319</v>
      </c>
      <c r="F1088" s="5" t="n">
        <f aca="false">VLOOKUP(D1088,Lookup!$A$2:$B$4,2,FALSE())</f>
        <v>0.1</v>
      </c>
      <c r="G1088" s="2" t="n">
        <f aca="false">ROUND(E1088*F1088,2)</f>
        <v>31.9</v>
      </c>
      <c r="H1088" s="2" t="n">
        <f aca="false">E1088+G1088</f>
        <v>350.9</v>
      </c>
      <c r="I1088" s="3" t="s">
        <v>22</v>
      </c>
      <c r="J1088" s="0" t="str">
        <f aca="false">_xlfn.XLOOKUP(C1088,Departments!$A$2:$A$6,Departments!$B$2:$B$6,"Unknown")</f>
        <v>Quality</v>
      </c>
    </row>
    <row r="1089" customFormat="false" ht="15" hidden="false" customHeight="false" outlineLevel="0" collapsed="false">
      <c r="A1089" s="0" t="s">
        <v>1116</v>
      </c>
      <c r="B1089" s="4" t="n">
        <v>46016</v>
      </c>
      <c r="C1089" s="0" t="s">
        <v>27</v>
      </c>
      <c r="D1089" s="3" t="s">
        <v>25</v>
      </c>
      <c r="E1089" s="2" t="n">
        <v>356</v>
      </c>
      <c r="F1089" s="5" t="n">
        <f aca="false">VLOOKUP(D1089,Lookup!$A$2:$B$4,2,FALSE())</f>
        <v>0.15</v>
      </c>
      <c r="G1089" s="2" t="n">
        <f aca="false">ROUND(E1089*F1089,2)</f>
        <v>53.4</v>
      </c>
      <c r="H1089" s="2" t="n">
        <f aca="false">E1089+G1089</f>
        <v>409.4</v>
      </c>
      <c r="I1089" s="3" t="s">
        <v>22</v>
      </c>
      <c r="J1089" s="0" t="str">
        <f aca="false">_xlfn.XLOOKUP(C1089,Departments!$A$2:$A$6,Departments!$B$2:$B$6,"Unknown")</f>
        <v>Human Resources</v>
      </c>
    </row>
    <row r="1090" customFormat="false" ht="15" hidden="false" customHeight="false" outlineLevel="0" collapsed="false">
      <c r="A1090" s="0" t="s">
        <v>1117</v>
      </c>
      <c r="B1090" s="4" t="n">
        <v>46017</v>
      </c>
      <c r="C1090" s="0" t="s">
        <v>30</v>
      </c>
      <c r="D1090" s="3" t="s">
        <v>28</v>
      </c>
      <c r="E1090" s="2" t="n">
        <v>393</v>
      </c>
      <c r="F1090" s="5" t="n">
        <f aca="false">VLOOKUP(D1090,Lookup!$A$2:$B$4,2,FALSE())</f>
        <v>0.05</v>
      </c>
      <c r="G1090" s="2" t="n">
        <f aca="false">ROUND(E1090*F1090,2)</f>
        <v>19.65</v>
      </c>
      <c r="H1090" s="2" t="n">
        <f aca="false">E1090+G1090</f>
        <v>412.65</v>
      </c>
      <c r="I1090" s="3" t="s">
        <v>22</v>
      </c>
      <c r="J1090" s="0" t="str">
        <f aca="false">_xlfn.XLOOKUP(C1090,Departments!$A$2:$A$6,Departments!$B$2:$B$6,"Unknown")</f>
        <v>Technology</v>
      </c>
    </row>
    <row r="1091" customFormat="false" ht="15" hidden="false" customHeight="false" outlineLevel="0" collapsed="false">
      <c r="A1091" s="0" t="s">
        <v>1118</v>
      </c>
      <c r="B1091" s="4" t="n">
        <v>46018</v>
      </c>
      <c r="C1091" s="0" t="s">
        <v>32</v>
      </c>
      <c r="D1091" s="3" t="s">
        <v>21</v>
      </c>
      <c r="E1091" s="2" t="n">
        <v>430</v>
      </c>
      <c r="F1091" s="5" t="n">
        <f aca="false">VLOOKUP(D1091,Lookup!$A$2:$B$4,2,FALSE())</f>
        <v>0.1</v>
      </c>
      <c r="G1091" s="2" t="n">
        <f aca="false">ROUND(E1091*F1091,2)</f>
        <v>43</v>
      </c>
      <c r="H1091" s="2" t="n">
        <f aca="false">E1091+G1091</f>
        <v>473</v>
      </c>
      <c r="I1091" s="3" t="s">
        <v>22</v>
      </c>
      <c r="J1091" s="0" t="str">
        <f aca="false">_xlfn.XLOOKUP(C1091,Departments!$A$2:$A$6,Departments!$B$2:$B$6,"Unknown")</f>
        <v>Operations</v>
      </c>
    </row>
    <row r="1092" customFormat="false" ht="15" hidden="false" customHeight="false" outlineLevel="0" collapsed="false">
      <c r="A1092" s="0" t="s">
        <v>1119</v>
      </c>
      <c r="B1092" s="4" t="n">
        <v>46019</v>
      </c>
      <c r="C1092" s="0" t="s">
        <v>20</v>
      </c>
      <c r="D1092" s="3" t="s">
        <v>25</v>
      </c>
      <c r="E1092" s="2" t="n">
        <v>467</v>
      </c>
      <c r="F1092" s="5" t="n">
        <f aca="false">VLOOKUP(D1092,Lookup!$A$2:$B$4,2,FALSE())</f>
        <v>0.15</v>
      </c>
      <c r="G1092" s="2" t="n">
        <f aca="false">ROUND(E1092*F1092,2)</f>
        <v>70.05</v>
      </c>
      <c r="H1092" s="2" t="n">
        <f aca="false">E1092+G1092</f>
        <v>537.05</v>
      </c>
      <c r="I1092" s="3" t="s">
        <v>22</v>
      </c>
      <c r="J1092" s="0" t="str">
        <f aca="false">_xlfn.XLOOKUP(C1092,Departments!$A$2:$A$6,Departments!$B$2:$B$6,"Unknown")</f>
        <v>Finance</v>
      </c>
    </row>
    <row r="1093" customFormat="false" ht="15" hidden="false" customHeight="false" outlineLevel="0" collapsed="false">
      <c r="A1093" s="0" t="s">
        <v>1120</v>
      </c>
      <c r="B1093" s="4" t="n">
        <v>46020</v>
      </c>
      <c r="C1093" s="0" t="s">
        <v>24</v>
      </c>
      <c r="D1093" s="3" t="s">
        <v>28</v>
      </c>
      <c r="E1093" s="2" t="n">
        <v>504</v>
      </c>
      <c r="F1093" s="5" t="n">
        <f aca="false">VLOOKUP(D1093,Lookup!$A$2:$B$4,2,FALSE())</f>
        <v>0.05</v>
      </c>
      <c r="G1093" s="2" t="n">
        <f aca="false">ROUND(E1093*F1093,2)</f>
        <v>25.2</v>
      </c>
      <c r="H1093" s="2" t="n">
        <f aca="false">E1093+G1093</f>
        <v>529.2</v>
      </c>
      <c r="I1093" s="3" t="s">
        <v>35</v>
      </c>
      <c r="J1093" s="0" t="str">
        <f aca="false">_xlfn.XLOOKUP(C1093,Departments!$A$2:$A$6,Departments!$B$2:$B$6,"Unknown")</f>
        <v>Quality</v>
      </c>
    </row>
    <row r="1094" customFormat="false" ht="15" hidden="false" customHeight="false" outlineLevel="0" collapsed="false">
      <c r="A1094" s="0" t="s">
        <v>1121</v>
      </c>
      <c r="B1094" s="4" t="n">
        <v>46021</v>
      </c>
      <c r="C1094" s="0" t="s">
        <v>27</v>
      </c>
      <c r="D1094" s="3" t="s">
        <v>21</v>
      </c>
      <c r="E1094" s="2" t="n">
        <v>541</v>
      </c>
      <c r="F1094" s="5" t="n">
        <f aca="false">VLOOKUP(D1094,Lookup!$A$2:$B$4,2,FALSE())</f>
        <v>0.1</v>
      </c>
      <c r="G1094" s="2" t="n">
        <f aca="false">ROUND(E1094*F1094,2)</f>
        <v>54.1</v>
      </c>
      <c r="H1094" s="2" t="n">
        <f aca="false">E1094+G1094</f>
        <v>595.1</v>
      </c>
      <c r="I1094" s="3" t="s">
        <v>22</v>
      </c>
      <c r="J1094" s="0" t="str">
        <f aca="false">_xlfn.XLOOKUP(C1094,Departments!$A$2:$A$6,Departments!$B$2:$B$6,"Unknown")</f>
        <v>Human Resources</v>
      </c>
    </row>
    <row r="1095" customFormat="false" ht="15" hidden="false" customHeight="false" outlineLevel="0" collapsed="false">
      <c r="A1095" s="0" t="s">
        <v>1122</v>
      </c>
      <c r="B1095" s="4" t="n">
        <v>46022</v>
      </c>
      <c r="C1095" s="0" t="s">
        <v>30</v>
      </c>
      <c r="D1095" s="3" t="s">
        <v>25</v>
      </c>
      <c r="E1095" s="2" t="n">
        <v>578</v>
      </c>
      <c r="F1095" s="5" t="n">
        <f aca="false">VLOOKUP(D1095,Lookup!$A$2:$B$4,2,FALSE())</f>
        <v>0.15</v>
      </c>
      <c r="G1095" s="2" t="n">
        <f aca="false">ROUND(E1095*F1095,2)</f>
        <v>86.7</v>
      </c>
      <c r="H1095" s="2" t="n">
        <f aca="false">E1095+G1095</f>
        <v>664.7</v>
      </c>
      <c r="I1095" s="3" t="s">
        <v>22</v>
      </c>
      <c r="J1095" s="0" t="str">
        <f aca="false">_xlfn.XLOOKUP(C1095,Departments!$A$2:$A$6,Departments!$B$2:$B$6,"Unknown")</f>
        <v>Technology</v>
      </c>
    </row>
    <row r="1096" customFormat="false" ht="15" hidden="false" customHeight="false" outlineLevel="0" collapsed="false">
      <c r="A1096" s="0" t="s">
        <v>1123</v>
      </c>
      <c r="B1096" s="4" t="n">
        <v>45658</v>
      </c>
      <c r="C1096" s="0" t="s">
        <v>32</v>
      </c>
      <c r="D1096" s="3" t="s">
        <v>28</v>
      </c>
      <c r="E1096" s="2" t="n">
        <v>615</v>
      </c>
      <c r="F1096" s="5" t="n">
        <f aca="false">VLOOKUP(D1096,Lookup!$A$2:$B$4,2,FALSE())</f>
        <v>0.05</v>
      </c>
      <c r="G1096" s="2" t="n">
        <f aca="false">ROUND(E1096*F1096,2)</f>
        <v>30.75</v>
      </c>
      <c r="H1096" s="2" t="n">
        <f aca="false">E1096+G1096</f>
        <v>645.75</v>
      </c>
      <c r="I1096" s="3" t="s">
        <v>22</v>
      </c>
      <c r="J1096" s="0" t="str">
        <f aca="false">_xlfn.XLOOKUP(C1096,Departments!$A$2:$A$6,Departments!$B$2:$B$6,"Unknown")</f>
        <v>Operations</v>
      </c>
    </row>
    <row r="1097" customFormat="false" ht="15" hidden="false" customHeight="false" outlineLevel="0" collapsed="false">
      <c r="A1097" s="0" t="s">
        <v>1124</v>
      </c>
      <c r="B1097" s="4" t="n">
        <v>45659</v>
      </c>
      <c r="C1097" s="0" t="s">
        <v>20</v>
      </c>
      <c r="D1097" s="3" t="s">
        <v>21</v>
      </c>
      <c r="E1097" s="2" t="n">
        <v>652</v>
      </c>
      <c r="F1097" s="5" t="n">
        <f aca="false">VLOOKUP(D1097,Lookup!$A$2:$B$4,2,FALSE())</f>
        <v>0.1</v>
      </c>
      <c r="G1097" s="2" t="n">
        <f aca="false">ROUND(E1097*F1097,2)</f>
        <v>65.2</v>
      </c>
      <c r="H1097" s="2" t="n">
        <f aca="false">E1097+G1097</f>
        <v>717.2</v>
      </c>
      <c r="I1097" s="3" t="s">
        <v>22</v>
      </c>
      <c r="J1097" s="0" t="str">
        <f aca="false">_xlfn.XLOOKUP(C1097,Departments!$A$2:$A$6,Departments!$B$2:$B$6,"Unknown")</f>
        <v>Finance</v>
      </c>
    </row>
    <row r="1098" customFormat="false" ht="15" hidden="false" customHeight="false" outlineLevel="0" collapsed="false">
      <c r="A1098" s="0" t="s">
        <v>1125</v>
      </c>
      <c r="B1098" s="4" t="n">
        <v>45660</v>
      </c>
      <c r="C1098" s="0" t="s">
        <v>24</v>
      </c>
      <c r="D1098" s="3" t="s">
        <v>25</v>
      </c>
      <c r="E1098" s="2" t="n">
        <v>689</v>
      </c>
      <c r="F1098" s="5" t="n">
        <f aca="false">VLOOKUP(D1098,Lookup!$A$2:$B$4,2,FALSE())</f>
        <v>0.15</v>
      </c>
      <c r="G1098" s="2" t="n">
        <f aca="false">ROUND(E1098*F1098,2)</f>
        <v>103.35</v>
      </c>
      <c r="H1098" s="2" t="n">
        <f aca="false">E1098+G1098</f>
        <v>792.35</v>
      </c>
      <c r="I1098" s="3" t="s">
        <v>22</v>
      </c>
      <c r="J1098" s="0" t="str">
        <f aca="false">_xlfn.XLOOKUP(C1098,Departments!$A$2:$A$6,Departments!$B$2:$B$6,"Unknown")</f>
        <v>Quality</v>
      </c>
    </row>
    <row r="1099" customFormat="false" ht="15" hidden="false" customHeight="false" outlineLevel="0" collapsed="false">
      <c r="A1099" s="0" t="s">
        <v>1126</v>
      </c>
      <c r="B1099" s="4" t="n">
        <v>45661</v>
      </c>
      <c r="C1099" s="0" t="s">
        <v>27</v>
      </c>
      <c r="D1099" s="3" t="s">
        <v>28</v>
      </c>
      <c r="E1099" s="2" t="n">
        <v>726</v>
      </c>
      <c r="F1099" s="5" t="n">
        <f aca="false">VLOOKUP(D1099,Lookup!$A$2:$B$4,2,FALSE())</f>
        <v>0.05</v>
      </c>
      <c r="G1099" s="2" t="n">
        <f aca="false">ROUND(E1099*F1099,2)</f>
        <v>36.3</v>
      </c>
      <c r="H1099" s="2" t="n">
        <f aca="false">E1099+G1099</f>
        <v>762.3</v>
      </c>
      <c r="I1099" s="3" t="s">
        <v>22</v>
      </c>
      <c r="J1099" s="0" t="str">
        <f aca="false">_xlfn.XLOOKUP(C1099,Departments!$A$2:$A$6,Departments!$B$2:$B$6,"Unknown")</f>
        <v>Human Resources</v>
      </c>
    </row>
    <row r="1100" customFormat="false" ht="15" hidden="false" customHeight="false" outlineLevel="0" collapsed="false">
      <c r="A1100" s="0" t="s">
        <v>1127</v>
      </c>
      <c r="B1100" s="4" t="n">
        <v>45662</v>
      </c>
      <c r="C1100" s="0" t="s">
        <v>30</v>
      </c>
      <c r="D1100" s="3" t="s">
        <v>21</v>
      </c>
      <c r="E1100" s="2" t="n">
        <v>763</v>
      </c>
      <c r="F1100" s="5" t="n">
        <f aca="false">VLOOKUP(D1100,Lookup!$A$2:$B$4,2,FALSE())</f>
        <v>0.1</v>
      </c>
      <c r="G1100" s="2" t="n">
        <f aca="false">ROUND(E1100*F1100,2)</f>
        <v>76.3</v>
      </c>
      <c r="H1100" s="2" t="n">
        <f aca="false">E1100+G1100</f>
        <v>839.3</v>
      </c>
      <c r="I1100" s="3" t="s">
        <v>35</v>
      </c>
      <c r="J1100" s="0" t="str">
        <f aca="false">_xlfn.XLOOKUP(C1100,Departments!$A$2:$A$6,Departments!$B$2:$B$6,"Unknown")</f>
        <v>Technology</v>
      </c>
    </row>
    <row r="1101" customFormat="false" ht="15" hidden="false" customHeight="false" outlineLevel="0" collapsed="false">
      <c r="A1101" s="0" t="s">
        <v>1128</v>
      </c>
      <c r="B1101" s="4" t="n">
        <v>45663</v>
      </c>
      <c r="C1101" s="0" t="s">
        <v>32</v>
      </c>
      <c r="D1101" s="3" t="s">
        <v>25</v>
      </c>
      <c r="E1101" s="2" t="n">
        <v>800</v>
      </c>
      <c r="F1101" s="5" t="n">
        <f aca="false">VLOOKUP(D1101,Lookup!$A$2:$B$4,2,FALSE())</f>
        <v>0.15</v>
      </c>
      <c r="G1101" s="2" t="n">
        <f aca="false">ROUND(E1101*F1101,2)</f>
        <v>120</v>
      </c>
      <c r="H1101" s="2" t="n">
        <f aca="false">E1101+G1101</f>
        <v>920</v>
      </c>
      <c r="I1101" s="3" t="s">
        <v>22</v>
      </c>
      <c r="J1101" s="0" t="str">
        <f aca="false">_xlfn.XLOOKUP(C1101,Departments!$A$2:$A$6,Departments!$B$2:$B$6,"Unknown")</f>
        <v>Operations</v>
      </c>
    </row>
    <row r="1102" customFormat="false" ht="15" hidden="false" customHeight="false" outlineLevel="0" collapsed="false">
      <c r="A1102" s="0" t="s">
        <v>1129</v>
      </c>
      <c r="B1102" s="4" t="n">
        <v>45664</v>
      </c>
      <c r="C1102" s="0" t="s">
        <v>20</v>
      </c>
      <c r="D1102" s="3" t="s">
        <v>28</v>
      </c>
      <c r="E1102" s="2" t="n">
        <v>837</v>
      </c>
      <c r="F1102" s="5" t="n">
        <f aca="false">VLOOKUP(D1102,Lookup!$A$2:$B$4,2,FALSE())</f>
        <v>0.05</v>
      </c>
      <c r="G1102" s="2" t="n">
        <f aca="false">ROUND(E1102*F1102,2)</f>
        <v>41.85</v>
      </c>
      <c r="H1102" s="2" t="n">
        <f aca="false">E1102+G1102</f>
        <v>878.85</v>
      </c>
      <c r="I1102" s="3" t="s">
        <v>22</v>
      </c>
      <c r="J1102" s="0" t="str">
        <f aca="false">_xlfn.XLOOKUP(C1102,Departments!$A$2:$A$6,Departments!$B$2:$B$6,"Unknown")</f>
        <v>Finance</v>
      </c>
    </row>
    <row r="1103" customFormat="false" ht="15" hidden="false" customHeight="false" outlineLevel="0" collapsed="false">
      <c r="A1103" s="0" t="s">
        <v>1130</v>
      </c>
      <c r="B1103" s="4" t="n">
        <v>45665</v>
      </c>
      <c r="C1103" s="0" t="s">
        <v>24</v>
      </c>
      <c r="D1103" s="3" t="s">
        <v>21</v>
      </c>
      <c r="E1103" s="2" t="n">
        <v>874</v>
      </c>
      <c r="F1103" s="5" t="n">
        <f aca="false">VLOOKUP(D1103,Lookup!$A$2:$B$4,2,FALSE())</f>
        <v>0.1</v>
      </c>
      <c r="G1103" s="2" t="n">
        <f aca="false">ROUND(E1103*F1103,2)</f>
        <v>87.4</v>
      </c>
      <c r="H1103" s="2" t="n">
        <f aca="false">E1103+G1103</f>
        <v>961.4</v>
      </c>
      <c r="I1103" s="3" t="s">
        <v>22</v>
      </c>
      <c r="J1103" s="0" t="str">
        <f aca="false">_xlfn.XLOOKUP(C1103,Departments!$A$2:$A$6,Departments!$B$2:$B$6,"Unknown")</f>
        <v>Quality</v>
      </c>
    </row>
    <row r="1104" customFormat="false" ht="15" hidden="false" customHeight="false" outlineLevel="0" collapsed="false">
      <c r="A1104" s="0" t="s">
        <v>1131</v>
      </c>
      <c r="B1104" s="4" t="n">
        <v>45666</v>
      </c>
      <c r="C1104" s="0" t="s">
        <v>27</v>
      </c>
      <c r="D1104" s="3" t="s">
        <v>25</v>
      </c>
      <c r="E1104" s="2" t="n">
        <v>911</v>
      </c>
      <c r="F1104" s="5" t="n">
        <f aca="false">VLOOKUP(D1104,Lookup!$A$2:$B$4,2,FALSE())</f>
        <v>0.15</v>
      </c>
      <c r="G1104" s="2" t="n">
        <f aca="false">ROUND(E1104*F1104,2)</f>
        <v>136.65</v>
      </c>
      <c r="H1104" s="2" t="n">
        <f aca="false">E1104+G1104</f>
        <v>1047.65</v>
      </c>
      <c r="I1104" s="3" t="s">
        <v>22</v>
      </c>
      <c r="J1104" s="0" t="str">
        <f aca="false">_xlfn.XLOOKUP(C1104,Departments!$A$2:$A$6,Departments!$B$2:$B$6,"Unknown")</f>
        <v>Human Resources</v>
      </c>
    </row>
    <row r="1105" customFormat="false" ht="15" hidden="false" customHeight="false" outlineLevel="0" collapsed="false">
      <c r="A1105" s="0" t="s">
        <v>1132</v>
      </c>
      <c r="B1105" s="4" t="n">
        <v>45667</v>
      </c>
      <c r="C1105" s="0" t="s">
        <v>30</v>
      </c>
      <c r="D1105" s="3" t="s">
        <v>28</v>
      </c>
      <c r="E1105" s="2" t="n">
        <v>948</v>
      </c>
      <c r="F1105" s="5" t="n">
        <f aca="false">VLOOKUP(D1105,Lookup!$A$2:$B$4,2,FALSE())</f>
        <v>0.05</v>
      </c>
      <c r="G1105" s="2" t="n">
        <f aca="false">ROUND(E1105*F1105,2)</f>
        <v>47.4</v>
      </c>
      <c r="H1105" s="2" t="n">
        <f aca="false">E1105+G1105</f>
        <v>995.4</v>
      </c>
      <c r="I1105" s="3" t="s">
        <v>22</v>
      </c>
      <c r="J1105" s="0" t="str">
        <f aca="false">_xlfn.XLOOKUP(C1105,Departments!$A$2:$A$6,Departments!$B$2:$B$6,"Unknown")</f>
        <v>Technology</v>
      </c>
    </row>
    <row r="1106" customFormat="false" ht="15" hidden="false" customHeight="false" outlineLevel="0" collapsed="false">
      <c r="A1106" s="0" t="s">
        <v>1133</v>
      </c>
      <c r="B1106" s="4" t="n">
        <v>45668</v>
      </c>
      <c r="C1106" s="0" t="s">
        <v>32</v>
      </c>
      <c r="D1106" s="3" t="s">
        <v>21</v>
      </c>
      <c r="E1106" s="2" t="n">
        <v>985</v>
      </c>
      <c r="F1106" s="5" t="n">
        <f aca="false">VLOOKUP(D1106,Lookup!$A$2:$B$4,2,FALSE())</f>
        <v>0.1</v>
      </c>
      <c r="G1106" s="2" t="n">
        <f aca="false">ROUND(E1106*F1106,2)</f>
        <v>98.5</v>
      </c>
      <c r="H1106" s="2" t="n">
        <f aca="false">E1106+G1106</f>
        <v>1083.5</v>
      </c>
      <c r="I1106" s="3" t="s">
        <v>22</v>
      </c>
      <c r="J1106" s="0" t="str">
        <f aca="false">_xlfn.XLOOKUP(C1106,Departments!$A$2:$A$6,Departments!$B$2:$B$6,"Unknown")</f>
        <v>Operations</v>
      </c>
    </row>
    <row r="1107" customFormat="false" ht="15" hidden="false" customHeight="false" outlineLevel="0" collapsed="false">
      <c r="A1107" s="0" t="s">
        <v>1134</v>
      </c>
      <c r="B1107" s="4" t="n">
        <v>45669</v>
      </c>
      <c r="C1107" s="0" t="s">
        <v>20</v>
      </c>
      <c r="D1107" s="3" t="s">
        <v>25</v>
      </c>
      <c r="E1107" s="2" t="n">
        <v>1022</v>
      </c>
      <c r="F1107" s="5" t="n">
        <f aca="false">VLOOKUP(D1107,Lookup!$A$2:$B$4,2,FALSE())</f>
        <v>0.15</v>
      </c>
      <c r="G1107" s="2" t="n">
        <f aca="false">ROUND(E1107*F1107,2)</f>
        <v>153.3</v>
      </c>
      <c r="H1107" s="2" t="n">
        <f aca="false">E1107+G1107</f>
        <v>1175.3</v>
      </c>
      <c r="I1107" s="3" t="s">
        <v>35</v>
      </c>
      <c r="J1107" s="0" t="str">
        <f aca="false">_xlfn.XLOOKUP(C1107,Departments!$A$2:$A$6,Departments!$B$2:$B$6,"Unknown")</f>
        <v>Finance</v>
      </c>
    </row>
    <row r="1108" customFormat="false" ht="15" hidden="false" customHeight="false" outlineLevel="0" collapsed="false">
      <c r="A1108" s="0" t="s">
        <v>1135</v>
      </c>
      <c r="B1108" s="4" t="n">
        <v>45670</v>
      </c>
      <c r="C1108" s="0" t="s">
        <v>24</v>
      </c>
      <c r="D1108" s="3" t="s">
        <v>28</v>
      </c>
      <c r="E1108" s="2" t="n">
        <v>1059</v>
      </c>
      <c r="F1108" s="5" t="n">
        <f aca="false">VLOOKUP(D1108,Lookup!$A$2:$B$4,2,FALSE())</f>
        <v>0.05</v>
      </c>
      <c r="G1108" s="2" t="n">
        <f aca="false">ROUND(E1108*F1108,2)</f>
        <v>52.95</v>
      </c>
      <c r="H1108" s="2" t="n">
        <f aca="false">E1108+G1108</f>
        <v>1111.95</v>
      </c>
      <c r="I1108" s="3" t="s">
        <v>22</v>
      </c>
      <c r="J1108" s="0" t="str">
        <f aca="false">_xlfn.XLOOKUP(C1108,Departments!$A$2:$A$6,Departments!$B$2:$B$6,"Unknown")</f>
        <v>Quality</v>
      </c>
    </row>
    <row r="1109" customFormat="false" ht="15" hidden="false" customHeight="false" outlineLevel="0" collapsed="false">
      <c r="A1109" s="0" t="s">
        <v>1136</v>
      </c>
      <c r="B1109" s="4" t="n">
        <v>45671</v>
      </c>
      <c r="C1109" s="0" t="s">
        <v>27</v>
      </c>
      <c r="D1109" s="3" t="s">
        <v>21</v>
      </c>
      <c r="E1109" s="2" t="n">
        <v>1096</v>
      </c>
      <c r="F1109" s="5" t="n">
        <f aca="false">VLOOKUP(D1109,Lookup!$A$2:$B$4,2,FALSE())</f>
        <v>0.1</v>
      </c>
      <c r="G1109" s="2" t="n">
        <f aca="false">ROUND(E1109*F1109,2)</f>
        <v>109.6</v>
      </c>
      <c r="H1109" s="2" t="n">
        <f aca="false">E1109+G1109</f>
        <v>1205.6</v>
      </c>
      <c r="I1109" s="3" t="s">
        <v>22</v>
      </c>
      <c r="J1109" s="0" t="str">
        <f aca="false">_xlfn.XLOOKUP(C1109,Departments!$A$2:$A$6,Departments!$B$2:$B$6,"Unknown")</f>
        <v>Human Resources</v>
      </c>
    </row>
    <row r="1110" customFormat="false" ht="15" hidden="false" customHeight="false" outlineLevel="0" collapsed="false">
      <c r="A1110" s="0" t="s">
        <v>1137</v>
      </c>
      <c r="B1110" s="4" t="n">
        <v>45672</v>
      </c>
      <c r="C1110" s="0" t="s">
        <v>30</v>
      </c>
      <c r="D1110" s="3" t="s">
        <v>25</v>
      </c>
      <c r="E1110" s="2" t="n">
        <v>1133</v>
      </c>
      <c r="F1110" s="5" t="n">
        <f aca="false">VLOOKUP(D1110,Lookup!$A$2:$B$4,2,FALSE())</f>
        <v>0.15</v>
      </c>
      <c r="G1110" s="2" t="n">
        <f aca="false">ROUND(E1110*F1110,2)</f>
        <v>169.95</v>
      </c>
      <c r="H1110" s="2" t="n">
        <f aca="false">E1110+G1110</f>
        <v>1302.95</v>
      </c>
      <c r="I1110" s="3" t="s">
        <v>22</v>
      </c>
      <c r="J1110" s="0" t="str">
        <f aca="false">_xlfn.XLOOKUP(C1110,Departments!$A$2:$A$6,Departments!$B$2:$B$6,"Unknown")</f>
        <v>Technology</v>
      </c>
    </row>
    <row r="1111" customFormat="false" ht="15" hidden="false" customHeight="false" outlineLevel="0" collapsed="false">
      <c r="A1111" s="0" t="s">
        <v>1138</v>
      </c>
      <c r="B1111" s="4" t="n">
        <v>45673</v>
      </c>
      <c r="C1111" s="0" t="s">
        <v>32</v>
      </c>
      <c r="D1111" s="3" t="s">
        <v>28</v>
      </c>
      <c r="E1111" s="2" t="n">
        <v>1170</v>
      </c>
      <c r="F1111" s="5" t="n">
        <f aca="false">VLOOKUP(D1111,Lookup!$A$2:$B$4,2,FALSE())</f>
        <v>0.05</v>
      </c>
      <c r="G1111" s="2" t="n">
        <f aca="false">ROUND(E1111*F1111,2)</f>
        <v>58.5</v>
      </c>
      <c r="H1111" s="2" t="n">
        <f aca="false">E1111+G1111</f>
        <v>1228.5</v>
      </c>
      <c r="I1111" s="3" t="s">
        <v>22</v>
      </c>
      <c r="J1111" s="0" t="str">
        <f aca="false">_xlfn.XLOOKUP(C1111,Departments!$A$2:$A$6,Departments!$B$2:$B$6,"Unknown")</f>
        <v>Operations</v>
      </c>
    </row>
    <row r="1112" customFormat="false" ht="15" hidden="false" customHeight="false" outlineLevel="0" collapsed="false">
      <c r="A1112" s="0" t="s">
        <v>1139</v>
      </c>
      <c r="B1112" s="4" t="n">
        <v>45674</v>
      </c>
      <c r="C1112" s="0" t="s">
        <v>20</v>
      </c>
      <c r="D1112" s="3" t="s">
        <v>21</v>
      </c>
      <c r="E1112" s="2" t="n">
        <v>1207</v>
      </c>
      <c r="F1112" s="5" t="n">
        <f aca="false">VLOOKUP(D1112,Lookup!$A$2:$B$4,2,FALSE())</f>
        <v>0.1</v>
      </c>
      <c r="G1112" s="2" t="n">
        <f aca="false">ROUND(E1112*F1112,2)</f>
        <v>120.7</v>
      </c>
      <c r="H1112" s="2" t="n">
        <f aca="false">E1112+G1112</f>
        <v>1327.7</v>
      </c>
      <c r="I1112" s="3" t="s">
        <v>22</v>
      </c>
      <c r="J1112" s="0" t="str">
        <f aca="false">_xlfn.XLOOKUP(C1112,Departments!$A$2:$A$6,Departments!$B$2:$B$6,"Unknown")</f>
        <v>Finance</v>
      </c>
    </row>
    <row r="1113" customFormat="false" ht="15" hidden="false" customHeight="false" outlineLevel="0" collapsed="false">
      <c r="A1113" s="0" t="s">
        <v>1140</v>
      </c>
      <c r="B1113" s="4" t="n">
        <v>45675</v>
      </c>
      <c r="C1113" s="0" t="s">
        <v>24</v>
      </c>
      <c r="D1113" s="3" t="s">
        <v>25</v>
      </c>
      <c r="E1113" s="2" t="n">
        <v>1244</v>
      </c>
      <c r="F1113" s="5" t="n">
        <f aca="false">VLOOKUP(D1113,Lookup!$A$2:$B$4,2,FALSE())</f>
        <v>0.15</v>
      </c>
      <c r="G1113" s="2" t="n">
        <f aca="false">ROUND(E1113*F1113,2)</f>
        <v>186.6</v>
      </c>
      <c r="H1113" s="2" t="n">
        <f aca="false">E1113+G1113</f>
        <v>1430.6</v>
      </c>
      <c r="I1113" s="3" t="s">
        <v>22</v>
      </c>
      <c r="J1113" s="0" t="str">
        <f aca="false">_xlfn.XLOOKUP(C1113,Departments!$A$2:$A$6,Departments!$B$2:$B$6,"Unknown")</f>
        <v>Quality</v>
      </c>
    </row>
    <row r="1114" customFormat="false" ht="15" hidden="false" customHeight="false" outlineLevel="0" collapsed="false">
      <c r="A1114" s="0" t="s">
        <v>1141</v>
      </c>
      <c r="B1114" s="4" t="n">
        <v>45676</v>
      </c>
      <c r="C1114" s="0" t="s">
        <v>27</v>
      </c>
      <c r="D1114" s="3" t="s">
        <v>28</v>
      </c>
      <c r="E1114" s="2" t="n">
        <v>1281</v>
      </c>
      <c r="F1114" s="5" t="n">
        <f aca="false">VLOOKUP(D1114,Lookup!$A$2:$B$4,2,FALSE())</f>
        <v>0.05</v>
      </c>
      <c r="G1114" s="2" t="n">
        <f aca="false">ROUND(E1114*F1114,2)</f>
        <v>64.05</v>
      </c>
      <c r="H1114" s="2" t="n">
        <f aca="false">E1114+G1114</f>
        <v>1345.05</v>
      </c>
      <c r="I1114" s="3" t="s">
        <v>35</v>
      </c>
      <c r="J1114" s="0" t="str">
        <f aca="false">_xlfn.XLOOKUP(C1114,Departments!$A$2:$A$6,Departments!$B$2:$B$6,"Unknown")</f>
        <v>Human Resources</v>
      </c>
    </row>
    <row r="1115" customFormat="false" ht="15" hidden="false" customHeight="false" outlineLevel="0" collapsed="false">
      <c r="A1115" s="0" t="s">
        <v>1142</v>
      </c>
      <c r="B1115" s="4" t="n">
        <v>45677</v>
      </c>
      <c r="C1115" s="0" t="s">
        <v>30</v>
      </c>
      <c r="D1115" s="3" t="s">
        <v>21</v>
      </c>
      <c r="E1115" s="2" t="n">
        <v>1318</v>
      </c>
      <c r="F1115" s="5" t="n">
        <f aca="false">VLOOKUP(D1115,Lookup!$A$2:$B$4,2,FALSE())</f>
        <v>0.1</v>
      </c>
      <c r="G1115" s="2" t="n">
        <f aca="false">ROUND(E1115*F1115,2)</f>
        <v>131.8</v>
      </c>
      <c r="H1115" s="2" t="n">
        <f aca="false">E1115+G1115</f>
        <v>1449.8</v>
      </c>
      <c r="I1115" s="3" t="s">
        <v>22</v>
      </c>
      <c r="J1115" s="0" t="str">
        <f aca="false">_xlfn.XLOOKUP(C1115,Departments!$A$2:$A$6,Departments!$B$2:$B$6,"Unknown")</f>
        <v>Technology</v>
      </c>
    </row>
    <row r="1116" customFormat="false" ht="15" hidden="false" customHeight="false" outlineLevel="0" collapsed="false">
      <c r="A1116" s="0" t="s">
        <v>1143</v>
      </c>
      <c r="B1116" s="4" t="n">
        <v>45678</v>
      </c>
      <c r="C1116" s="0" t="s">
        <v>32</v>
      </c>
      <c r="D1116" s="3" t="s">
        <v>25</v>
      </c>
      <c r="E1116" s="2" t="n">
        <v>1355</v>
      </c>
      <c r="F1116" s="5" t="n">
        <f aca="false">VLOOKUP(D1116,Lookup!$A$2:$B$4,2,FALSE())</f>
        <v>0.15</v>
      </c>
      <c r="G1116" s="2" t="n">
        <f aca="false">ROUND(E1116*F1116,2)</f>
        <v>203.25</v>
      </c>
      <c r="H1116" s="2" t="n">
        <f aca="false">E1116+G1116</f>
        <v>1558.25</v>
      </c>
      <c r="I1116" s="3" t="s">
        <v>22</v>
      </c>
      <c r="J1116" s="0" t="str">
        <f aca="false">_xlfn.XLOOKUP(C1116,Departments!$A$2:$A$6,Departments!$B$2:$B$6,"Unknown")</f>
        <v>Operations</v>
      </c>
    </row>
    <row r="1117" customFormat="false" ht="15" hidden="false" customHeight="false" outlineLevel="0" collapsed="false">
      <c r="A1117" s="0" t="s">
        <v>1144</v>
      </c>
      <c r="B1117" s="4" t="n">
        <v>45679</v>
      </c>
      <c r="C1117" s="0" t="s">
        <v>20</v>
      </c>
      <c r="D1117" s="3" t="s">
        <v>28</v>
      </c>
      <c r="E1117" s="2" t="n">
        <v>1392</v>
      </c>
      <c r="F1117" s="5" t="n">
        <f aca="false">VLOOKUP(D1117,Lookup!$A$2:$B$4,2,FALSE())</f>
        <v>0.05</v>
      </c>
      <c r="G1117" s="2" t="n">
        <f aca="false">ROUND(E1117*F1117,2)</f>
        <v>69.6</v>
      </c>
      <c r="H1117" s="2" t="n">
        <f aca="false">E1117+G1117</f>
        <v>1461.6</v>
      </c>
      <c r="I1117" s="3" t="s">
        <v>22</v>
      </c>
      <c r="J1117" s="0" t="str">
        <f aca="false">_xlfn.XLOOKUP(C1117,Departments!$A$2:$A$6,Departments!$B$2:$B$6,"Unknown")</f>
        <v>Finance</v>
      </c>
    </row>
    <row r="1118" customFormat="false" ht="15" hidden="false" customHeight="false" outlineLevel="0" collapsed="false">
      <c r="A1118" s="0" t="s">
        <v>1145</v>
      </c>
      <c r="B1118" s="4" t="n">
        <v>45680</v>
      </c>
      <c r="C1118" s="0" t="s">
        <v>24</v>
      </c>
      <c r="D1118" s="3" t="s">
        <v>21</v>
      </c>
      <c r="E1118" s="2" t="n">
        <v>1429</v>
      </c>
      <c r="F1118" s="5" t="n">
        <f aca="false">VLOOKUP(D1118,Lookup!$A$2:$B$4,2,FALSE())</f>
        <v>0.1</v>
      </c>
      <c r="G1118" s="2" t="n">
        <f aca="false">ROUND(E1118*F1118,2)</f>
        <v>142.9</v>
      </c>
      <c r="H1118" s="2" t="n">
        <f aca="false">E1118+G1118</f>
        <v>1571.9</v>
      </c>
      <c r="I1118" s="3" t="s">
        <v>22</v>
      </c>
      <c r="J1118" s="0" t="str">
        <f aca="false">_xlfn.XLOOKUP(C1118,Departments!$A$2:$A$6,Departments!$B$2:$B$6,"Unknown")</f>
        <v>Quality</v>
      </c>
    </row>
    <row r="1119" customFormat="false" ht="15" hidden="false" customHeight="false" outlineLevel="0" collapsed="false">
      <c r="A1119" s="0" t="s">
        <v>1146</v>
      </c>
      <c r="B1119" s="4" t="n">
        <v>45681</v>
      </c>
      <c r="C1119" s="0" t="s">
        <v>27</v>
      </c>
      <c r="D1119" s="3" t="s">
        <v>25</v>
      </c>
      <c r="E1119" s="2" t="n">
        <v>1466</v>
      </c>
      <c r="F1119" s="5" t="n">
        <f aca="false">VLOOKUP(D1119,Lookup!$A$2:$B$4,2,FALSE())</f>
        <v>0.15</v>
      </c>
      <c r="G1119" s="2" t="n">
        <f aca="false">ROUND(E1119*F1119,2)</f>
        <v>219.9</v>
      </c>
      <c r="H1119" s="2" t="n">
        <f aca="false">E1119+G1119</f>
        <v>1685.9</v>
      </c>
      <c r="I1119" s="3" t="s">
        <v>22</v>
      </c>
      <c r="J1119" s="0" t="str">
        <f aca="false">_xlfn.XLOOKUP(C1119,Departments!$A$2:$A$6,Departments!$B$2:$B$6,"Unknown")</f>
        <v>Human Resources</v>
      </c>
    </row>
    <row r="1120" customFormat="false" ht="15" hidden="false" customHeight="false" outlineLevel="0" collapsed="false">
      <c r="A1120" s="0" t="s">
        <v>1147</v>
      </c>
      <c r="B1120" s="4" t="n">
        <v>45682</v>
      </c>
      <c r="C1120" s="0" t="s">
        <v>30</v>
      </c>
      <c r="D1120" s="3" t="s">
        <v>28</v>
      </c>
      <c r="E1120" s="2" t="n">
        <v>1503</v>
      </c>
      <c r="F1120" s="5" t="n">
        <f aca="false">VLOOKUP(D1120,Lookup!$A$2:$B$4,2,FALSE())</f>
        <v>0.05</v>
      </c>
      <c r="G1120" s="2" t="n">
        <f aca="false">ROUND(E1120*F1120,2)</f>
        <v>75.15</v>
      </c>
      <c r="H1120" s="2" t="n">
        <f aca="false">E1120+G1120</f>
        <v>1578.15</v>
      </c>
      <c r="I1120" s="3" t="s">
        <v>22</v>
      </c>
      <c r="J1120" s="0" t="str">
        <f aca="false">_xlfn.XLOOKUP(C1120,Departments!$A$2:$A$6,Departments!$B$2:$B$6,"Unknown")</f>
        <v>Technology</v>
      </c>
    </row>
    <row r="1121" customFormat="false" ht="15" hidden="false" customHeight="false" outlineLevel="0" collapsed="false">
      <c r="A1121" s="0" t="s">
        <v>1148</v>
      </c>
      <c r="B1121" s="4" t="n">
        <v>45683</v>
      </c>
      <c r="C1121" s="0" t="s">
        <v>32</v>
      </c>
      <c r="D1121" s="3" t="s">
        <v>21</v>
      </c>
      <c r="E1121" s="2" t="n">
        <v>1540</v>
      </c>
      <c r="F1121" s="5" t="n">
        <f aca="false">VLOOKUP(D1121,Lookup!$A$2:$B$4,2,FALSE())</f>
        <v>0.1</v>
      </c>
      <c r="G1121" s="2" t="n">
        <f aca="false">ROUND(E1121*F1121,2)</f>
        <v>154</v>
      </c>
      <c r="H1121" s="2" t="n">
        <f aca="false">E1121+G1121</f>
        <v>1694</v>
      </c>
      <c r="I1121" s="3" t="s">
        <v>35</v>
      </c>
      <c r="J1121" s="0" t="str">
        <f aca="false">_xlfn.XLOOKUP(C1121,Departments!$A$2:$A$6,Departments!$B$2:$B$6,"Unknown")</f>
        <v>Operations</v>
      </c>
    </row>
    <row r="1122" customFormat="false" ht="15" hidden="false" customHeight="false" outlineLevel="0" collapsed="false">
      <c r="A1122" s="0" t="s">
        <v>1149</v>
      </c>
      <c r="B1122" s="4" t="n">
        <v>45684</v>
      </c>
      <c r="C1122" s="0" t="s">
        <v>20</v>
      </c>
      <c r="D1122" s="3" t="s">
        <v>25</v>
      </c>
      <c r="E1122" s="2" t="n">
        <v>1577</v>
      </c>
      <c r="F1122" s="5" t="n">
        <f aca="false">VLOOKUP(D1122,Lookup!$A$2:$B$4,2,FALSE())</f>
        <v>0.15</v>
      </c>
      <c r="G1122" s="2" t="n">
        <f aca="false">ROUND(E1122*F1122,2)</f>
        <v>236.55</v>
      </c>
      <c r="H1122" s="2" t="n">
        <f aca="false">E1122+G1122</f>
        <v>1813.55</v>
      </c>
      <c r="I1122" s="3" t="s">
        <v>22</v>
      </c>
      <c r="J1122" s="0" t="str">
        <f aca="false">_xlfn.XLOOKUP(C1122,Departments!$A$2:$A$6,Departments!$B$2:$B$6,"Unknown")</f>
        <v>Finance</v>
      </c>
    </row>
    <row r="1123" customFormat="false" ht="15" hidden="false" customHeight="false" outlineLevel="0" collapsed="false">
      <c r="A1123" s="0" t="s">
        <v>1150</v>
      </c>
      <c r="B1123" s="4" t="n">
        <v>45685</v>
      </c>
      <c r="C1123" s="0" t="s">
        <v>24</v>
      </c>
      <c r="D1123" s="3" t="s">
        <v>28</v>
      </c>
      <c r="E1123" s="2" t="n">
        <v>1614</v>
      </c>
      <c r="F1123" s="5" t="n">
        <f aca="false">VLOOKUP(D1123,Lookup!$A$2:$B$4,2,FALSE())</f>
        <v>0.05</v>
      </c>
      <c r="G1123" s="2" t="n">
        <f aca="false">ROUND(E1123*F1123,2)</f>
        <v>80.7</v>
      </c>
      <c r="H1123" s="2" t="n">
        <f aca="false">E1123+G1123</f>
        <v>1694.7</v>
      </c>
      <c r="I1123" s="3" t="s">
        <v>22</v>
      </c>
      <c r="J1123" s="0" t="str">
        <f aca="false">_xlfn.XLOOKUP(C1123,Departments!$A$2:$A$6,Departments!$B$2:$B$6,"Unknown")</f>
        <v>Quality</v>
      </c>
    </row>
    <row r="1124" customFormat="false" ht="15" hidden="false" customHeight="false" outlineLevel="0" collapsed="false">
      <c r="A1124" s="0" t="s">
        <v>1151</v>
      </c>
      <c r="B1124" s="4" t="n">
        <v>45686</v>
      </c>
      <c r="C1124" s="0" t="s">
        <v>27</v>
      </c>
      <c r="D1124" s="3" t="s">
        <v>21</v>
      </c>
      <c r="E1124" s="2" t="n">
        <v>1651</v>
      </c>
      <c r="F1124" s="5" t="n">
        <f aca="false">VLOOKUP(D1124,Lookup!$A$2:$B$4,2,FALSE())</f>
        <v>0.1</v>
      </c>
      <c r="G1124" s="2" t="n">
        <f aca="false">ROUND(E1124*F1124,2)</f>
        <v>165.1</v>
      </c>
      <c r="H1124" s="2" t="n">
        <f aca="false">E1124+G1124</f>
        <v>1816.1</v>
      </c>
      <c r="I1124" s="3" t="s">
        <v>22</v>
      </c>
      <c r="J1124" s="0" t="str">
        <f aca="false">_xlfn.XLOOKUP(C1124,Departments!$A$2:$A$6,Departments!$B$2:$B$6,"Unknown")</f>
        <v>Human Resources</v>
      </c>
    </row>
    <row r="1125" customFormat="false" ht="15" hidden="false" customHeight="false" outlineLevel="0" collapsed="false">
      <c r="A1125" s="0" t="s">
        <v>1152</v>
      </c>
      <c r="B1125" s="4" t="n">
        <v>45687</v>
      </c>
      <c r="C1125" s="0" t="s">
        <v>30</v>
      </c>
      <c r="D1125" s="3" t="s">
        <v>25</v>
      </c>
      <c r="E1125" s="2" t="n">
        <v>1688</v>
      </c>
      <c r="F1125" s="5" t="n">
        <f aca="false">VLOOKUP(D1125,Lookup!$A$2:$B$4,2,FALSE())</f>
        <v>0.15</v>
      </c>
      <c r="G1125" s="2" t="n">
        <f aca="false">ROUND(E1125*F1125,2)</f>
        <v>253.2</v>
      </c>
      <c r="H1125" s="2" t="n">
        <f aca="false">E1125+G1125</f>
        <v>1941.2</v>
      </c>
      <c r="I1125" s="3" t="s">
        <v>22</v>
      </c>
      <c r="J1125" s="0" t="str">
        <f aca="false">_xlfn.XLOOKUP(C1125,Departments!$A$2:$A$6,Departments!$B$2:$B$6,"Unknown")</f>
        <v>Technology</v>
      </c>
    </row>
    <row r="1126" customFormat="false" ht="15" hidden="false" customHeight="false" outlineLevel="0" collapsed="false">
      <c r="A1126" s="0" t="s">
        <v>1153</v>
      </c>
      <c r="B1126" s="4" t="n">
        <v>45688</v>
      </c>
      <c r="C1126" s="0" t="s">
        <v>32</v>
      </c>
      <c r="D1126" s="3" t="s">
        <v>28</v>
      </c>
      <c r="E1126" s="2" t="n">
        <v>1725</v>
      </c>
      <c r="F1126" s="5" t="n">
        <f aca="false">VLOOKUP(D1126,Lookup!$A$2:$B$4,2,FALSE())</f>
        <v>0.05</v>
      </c>
      <c r="G1126" s="2" t="n">
        <f aca="false">ROUND(E1126*F1126,2)</f>
        <v>86.25</v>
      </c>
      <c r="H1126" s="2" t="n">
        <f aca="false">E1126+G1126</f>
        <v>1811.25</v>
      </c>
      <c r="I1126" s="3" t="s">
        <v>22</v>
      </c>
      <c r="J1126" s="0" t="str">
        <f aca="false">_xlfn.XLOOKUP(C1126,Departments!$A$2:$A$6,Departments!$B$2:$B$6,"Unknown")</f>
        <v>Operations</v>
      </c>
    </row>
    <row r="1127" customFormat="false" ht="15" hidden="false" customHeight="false" outlineLevel="0" collapsed="false">
      <c r="A1127" s="0" t="s">
        <v>1154</v>
      </c>
      <c r="B1127" s="4" t="n">
        <v>45689</v>
      </c>
      <c r="C1127" s="0" t="s">
        <v>20</v>
      </c>
      <c r="D1127" s="3" t="s">
        <v>21</v>
      </c>
      <c r="E1127" s="2" t="n">
        <v>1762</v>
      </c>
      <c r="F1127" s="5" t="n">
        <f aca="false">VLOOKUP(D1127,Lookup!$A$2:$B$4,2,FALSE())</f>
        <v>0.1</v>
      </c>
      <c r="G1127" s="2" t="n">
        <f aca="false">ROUND(E1127*F1127,2)</f>
        <v>176.2</v>
      </c>
      <c r="H1127" s="2" t="n">
        <f aca="false">E1127+G1127</f>
        <v>1938.2</v>
      </c>
      <c r="I1127" s="3" t="s">
        <v>22</v>
      </c>
      <c r="J1127" s="0" t="str">
        <f aca="false">_xlfn.XLOOKUP(C1127,Departments!$A$2:$A$6,Departments!$B$2:$B$6,"Unknown")</f>
        <v>Finance</v>
      </c>
    </row>
    <row r="1128" customFormat="false" ht="15" hidden="false" customHeight="false" outlineLevel="0" collapsed="false">
      <c r="A1128" s="0" t="s">
        <v>1155</v>
      </c>
      <c r="B1128" s="4" t="n">
        <v>45690</v>
      </c>
      <c r="C1128" s="0" t="s">
        <v>24</v>
      </c>
      <c r="D1128" s="3" t="s">
        <v>25</v>
      </c>
      <c r="E1128" s="2" t="n">
        <v>1799</v>
      </c>
      <c r="F1128" s="5" t="n">
        <f aca="false">VLOOKUP(D1128,Lookup!$A$2:$B$4,2,FALSE())</f>
        <v>0.15</v>
      </c>
      <c r="G1128" s="2" t="n">
        <f aca="false">ROUND(E1128*F1128,2)</f>
        <v>269.85</v>
      </c>
      <c r="H1128" s="2" t="n">
        <f aca="false">E1128+G1128</f>
        <v>2068.85</v>
      </c>
      <c r="I1128" s="3" t="s">
        <v>35</v>
      </c>
      <c r="J1128" s="0" t="str">
        <f aca="false">_xlfn.XLOOKUP(C1128,Departments!$A$2:$A$6,Departments!$B$2:$B$6,"Unknown")</f>
        <v>Quality</v>
      </c>
    </row>
    <row r="1129" customFormat="false" ht="15" hidden="false" customHeight="false" outlineLevel="0" collapsed="false">
      <c r="A1129" s="0" t="s">
        <v>1156</v>
      </c>
      <c r="B1129" s="4" t="n">
        <v>45691</v>
      </c>
      <c r="C1129" s="0" t="s">
        <v>27</v>
      </c>
      <c r="D1129" s="3" t="s">
        <v>28</v>
      </c>
      <c r="E1129" s="2" t="n">
        <v>1836</v>
      </c>
      <c r="F1129" s="5" t="n">
        <f aca="false">VLOOKUP(D1129,Lookup!$A$2:$B$4,2,FALSE())</f>
        <v>0.05</v>
      </c>
      <c r="G1129" s="2" t="n">
        <f aca="false">ROUND(E1129*F1129,2)</f>
        <v>91.8</v>
      </c>
      <c r="H1129" s="2" t="n">
        <f aca="false">E1129+G1129</f>
        <v>1927.8</v>
      </c>
      <c r="I1129" s="3" t="s">
        <v>22</v>
      </c>
      <c r="J1129" s="0" t="str">
        <f aca="false">_xlfn.XLOOKUP(C1129,Departments!$A$2:$A$6,Departments!$B$2:$B$6,"Unknown")</f>
        <v>Human Resources</v>
      </c>
    </row>
    <row r="1130" customFormat="false" ht="15" hidden="false" customHeight="false" outlineLevel="0" collapsed="false">
      <c r="A1130" s="0" t="s">
        <v>1157</v>
      </c>
      <c r="B1130" s="4" t="n">
        <v>45692</v>
      </c>
      <c r="C1130" s="0" t="s">
        <v>30</v>
      </c>
      <c r="D1130" s="3" t="s">
        <v>21</v>
      </c>
      <c r="E1130" s="2" t="n">
        <v>1873</v>
      </c>
      <c r="F1130" s="5" t="n">
        <f aca="false">VLOOKUP(D1130,Lookup!$A$2:$B$4,2,FALSE())</f>
        <v>0.1</v>
      </c>
      <c r="G1130" s="2" t="n">
        <f aca="false">ROUND(E1130*F1130,2)</f>
        <v>187.3</v>
      </c>
      <c r="H1130" s="2" t="n">
        <f aca="false">E1130+G1130</f>
        <v>2060.3</v>
      </c>
      <c r="I1130" s="3" t="s">
        <v>22</v>
      </c>
      <c r="J1130" s="0" t="str">
        <f aca="false">_xlfn.XLOOKUP(C1130,Departments!$A$2:$A$6,Departments!$B$2:$B$6,"Unknown")</f>
        <v>Technology</v>
      </c>
    </row>
    <row r="1131" customFormat="false" ht="15" hidden="false" customHeight="false" outlineLevel="0" collapsed="false">
      <c r="A1131" s="0" t="s">
        <v>1158</v>
      </c>
      <c r="B1131" s="4" t="n">
        <v>45693</v>
      </c>
      <c r="C1131" s="0" t="s">
        <v>32</v>
      </c>
      <c r="D1131" s="3" t="s">
        <v>25</v>
      </c>
      <c r="E1131" s="2" t="n">
        <v>1910</v>
      </c>
      <c r="F1131" s="5" t="n">
        <f aca="false">VLOOKUP(D1131,Lookup!$A$2:$B$4,2,FALSE())</f>
        <v>0.15</v>
      </c>
      <c r="G1131" s="2" t="n">
        <f aca="false">ROUND(E1131*F1131,2)</f>
        <v>286.5</v>
      </c>
      <c r="H1131" s="2" t="n">
        <f aca="false">E1131+G1131</f>
        <v>2196.5</v>
      </c>
      <c r="I1131" s="3" t="s">
        <v>22</v>
      </c>
      <c r="J1131" s="0" t="str">
        <f aca="false">_xlfn.XLOOKUP(C1131,Departments!$A$2:$A$6,Departments!$B$2:$B$6,"Unknown")</f>
        <v>Operations</v>
      </c>
    </row>
    <row r="1132" customFormat="false" ht="15" hidden="false" customHeight="false" outlineLevel="0" collapsed="false">
      <c r="A1132" s="0" t="s">
        <v>1159</v>
      </c>
      <c r="B1132" s="4" t="n">
        <v>45694</v>
      </c>
      <c r="C1132" s="0" t="s">
        <v>20</v>
      </c>
      <c r="D1132" s="3" t="s">
        <v>28</v>
      </c>
      <c r="E1132" s="2" t="n">
        <v>1947</v>
      </c>
      <c r="F1132" s="5" t="n">
        <f aca="false">VLOOKUP(D1132,Lookup!$A$2:$B$4,2,FALSE())</f>
        <v>0.05</v>
      </c>
      <c r="G1132" s="2" t="n">
        <f aca="false">ROUND(E1132*F1132,2)</f>
        <v>97.35</v>
      </c>
      <c r="H1132" s="2" t="n">
        <f aca="false">E1132+G1132</f>
        <v>2044.35</v>
      </c>
      <c r="I1132" s="3" t="s">
        <v>22</v>
      </c>
      <c r="J1132" s="0" t="str">
        <f aca="false">_xlfn.XLOOKUP(C1132,Departments!$A$2:$A$6,Departments!$B$2:$B$6,"Unknown")</f>
        <v>Finance</v>
      </c>
    </row>
    <row r="1133" customFormat="false" ht="15" hidden="false" customHeight="false" outlineLevel="0" collapsed="false">
      <c r="A1133" s="0" t="s">
        <v>1160</v>
      </c>
      <c r="B1133" s="4" t="n">
        <v>45695</v>
      </c>
      <c r="C1133" s="0" t="s">
        <v>24</v>
      </c>
      <c r="D1133" s="3" t="s">
        <v>21</v>
      </c>
      <c r="E1133" s="2" t="n">
        <v>1984</v>
      </c>
      <c r="F1133" s="5" t="n">
        <f aca="false">VLOOKUP(D1133,Lookup!$A$2:$B$4,2,FALSE())</f>
        <v>0.1</v>
      </c>
      <c r="G1133" s="2" t="n">
        <f aca="false">ROUND(E1133*F1133,2)</f>
        <v>198.4</v>
      </c>
      <c r="H1133" s="2" t="n">
        <f aca="false">E1133+G1133</f>
        <v>2182.4</v>
      </c>
      <c r="I1133" s="3" t="s">
        <v>22</v>
      </c>
      <c r="J1133" s="0" t="str">
        <f aca="false">_xlfn.XLOOKUP(C1133,Departments!$A$2:$A$6,Departments!$B$2:$B$6,"Unknown")</f>
        <v>Quality</v>
      </c>
    </row>
    <row r="1134" customFormat="false" ht="15" hidden="false" customHeight="false" outlineLevel="0" collapsed="false">
      <c r="A1134" s="0" t="s">
        <v>1161</v>
      </c>
      <c r="B1134" s="4" t="n">
        <v>45696</v>
      </c>
      <c r="C1134" s="0" t="s">
        <v>27</v>
      </c>
      <c r="D1134" s="3" t="s">
        <v>25</v>
      </c>
      <c r="E1134" s="2" t="n">
        <v>2021</v>
      </c>
      <c r="F1134" s="5" t="n">
        <f aca="false">VLOOKUP(D1134,Lookup!$A$2:$B$4,2,FALSE())</f>
        <v>0.15</v>
      </c>
      <c r="G1134" s="2" t="n">
        <f aca="false">ROUND(E1134*F1134,2)</f>
        <v>303.15</v>
      </c>
      <c r="H1134" s="2" t="n">
        <f aca="false">E1134+G1134</f>
        <v>2324.15</v>
      </c>
      <c r="I1134" s="3" t="s">
        <v>22</v>
      </c>
      <c r="J1134" s="0" t="str">
        <f aca="false">_xlfn.XLOOKUP(C1134,Departments!$A$2:$A$6,Departments!$B$2:$B$6,"Unknown")</f>
        <v>Human Resources</v>
      </c>
    </row>
    <row r="1135" customFormat="false" ht="15" hidden="false" customHeight="false" outlineLevel="0" collapsed="false">
      <c r="A1135" s="0" t="s">
        <v>1162</v>
      </c>
      <c r="B1135" s="4" t="n">
        <v>45697</v>
      </c>
      <c r="C1135" s="0" t="s">
        <v>30</v>
      </c>
      <c r="D1135" s="3" t="s">
        <v>28</v>
      </c>
      <c r="E1135" s="2" t="n">
        <v>2058</v>
      </c>
      <c r="F1135" s="5" t="n">
        <f aca="false">VLOOKUP(D1135,Lookup!$A$2:$B$4,2,FALSE())</f>
        <v>0.05</v>
      </c>
      <c r="G1135" s="2" t="n">
        <f aca="false">ROUND(E1135*F1135,2)</f>
        <v>102.9</v>
      </c>
      <c r="H1135" s="2" t="n">
        <f aca="false">E1135+G1135</f>
        <v>2160.9</v>
      </c>
      <c r="I1135" s="3" t="s">
        <v>35</v>
      </c>
      <c r="J1135" s="0" t="str">
        <f aca="false">_xlfn.XLOOKUP(C1135,Departments!$A$2:$A$6,Departments!$B$2:$B$6,"Unknown")</f>
        <v>Technology</v>
      </c>
    </row>
    <row r="1136" customFormat="false" ht="15" hidden="false" customHeight="false" outlineLevel="0" collapsed="false">
      <c r="A1136" s="0" t="s">
        <v>1163</v>
      </c>
      <c r="B1136" s="4" t="n">
        <v>45698</v>
      </c>
      <c r="C1136" s="0" t="s">
        <v>32</v>
      </c>
      <c r="D1136" s="3" t="s">
        <v>21</v>
      </c>
      <c r="E1136" s="2" t="n">
        <v>2095</v>
      </c>
      <c r="F1136" s="5" t="n">
        <f aca="false">VLOOKUP(D1136,Lookup!$A$2:$B$4,2,FALSE())</f>
        <v>0.1</v>
      </c>
      <c r="G1136" s="2" t="n">
        <f aca="false">ROUND(E1136*F1136,2)</f>
        <v>209.5</v>
      </c>
      <c r="H1136" s="2" t="n">
        <f aca="false">E1136+G1136</f>
        <v>2304.5</v>
      </c>
      <c r="I1136" s="3" t="s">
        <v>22</v>
      </c>
      <c r="J1136" s="0" t="str">
        <f aca="false">_xlfn.XLOOKUP(C1136,Departments!$A$2:$A$6,Departments!$B$2:$B$6,"Unknown")</f>
        <v>Operations</v>
      </c>
    </row>
    <row r="1137" customFormat="false" ht="15" hidden="false" customHeight="false" outlineLevel="0" collapsed="false">
      <c r="A1137" s="0" t="s">
        <v>1164</v>
      </c>
      <c r="B1137" s="4" t="n">
        <v>45699</v>
      </c>
      <c r="C1137" s="0" t="s">
        <v>20</v>
      </c>
      <c r="D1137" s="3" t="s">
        <v>25</v>
      </c>
      <c r="E1137" s="2" t="n">
        <v>2132</v>
      </c>
      <c r="F1137" s="5" t="n">
        <f aca="false">VLOOKUP(D1137,Lookup!$A$2:$B$4,2,FALSE())</f>
        <v>0.15</v>
      </c>
      <c r="G1137" s="2" t="n">
        <f aca="false">ROUND(E1137*F1137,2)</f>
        <v>319.8</v>
      </c>
      <c r="H1137" s="2" t="n">
        <f aca="false">E1137+G1137</f>
        <v>2451.8</v>
      </c>
      <c r="I1137" s="3" t="s">
        <v>22</v>
      </c>
      <c r="J1137" s="0" t="str">
        <f aca="false">_xlfn.XLOOKUP(C1137,Departments!$A$2:$A$6,Departments!$B$2:$B$6,"Unknown")</f>
        <v>Finance</v>
      </c>
    </row>
    <row r="1138" customFormat="false" ht="15" hidden="false" customHeight="false" outlineLevel="0" collapsed="false">
      <c r="A1138" s="0" t="s">
        <v>1165</v>
      </c>
      <c r="B1138" s="4" t="n">
        <v>45700</v>
      </c>
      <c r="C1138" s="0" t="s">
        <v>24</v>
      </c>
      <c r="D1138" s="3" t="s">
        <v>28</v>
      </c>
      <c r="E1138" s="2" t="n">
        <v>2169</v>
      </c>
      <c r="F1138" s="5" t="n">
        <f aca="false">VLOOKUP(D1138,Lookup!$A$2:$B$4,2,FALSE())</f>
        <v>0.05</v>
      </c>
      <c r="G1138" s="2" t="n">
        <f aca="false">ROUND(E1138*F1138,2)</f>
        <v>108.45</v>
      </c>
      <c r="H1138" s="2" t="n">
        <f aca="false">E1138+G1138</f>
        <v>2277.45</v>
      </c>
      <c r="I1138" s="3" t="s">
        <v>22</v>
      </c>
      <c r="J1138" s="0" t="str">
        <f aca="false">_xlfn.XLOOKUP(C1138,Departments!$A$2:$A$6,Departments!$B$2:$B$6,"Unknown")</f>
        <v>Quality</v>
      </c>
    </row>
    <row r="1139" customFormat="false" ht="15" hidden="false" customHeight="false" outlineLevel="0" collapsed="false">
      <c r="A1139" s="0" t="s">
        <v>1166</v>
      </c>
      <c r="B1139" s="4" t="n">
        <v>45701</v>
      </c>
      <c r="C1139" s="0" t="s">
        <v>27</v>
      </c>
      <c r="D1139" s="3" t="s">
        <v>21</v>
      </c>
      <c r="E1139" s="2" t="n">
        <v>2206</v>
      </c>
      <c r="F1139" s="5" t="n">
        <f aca="false">VLOOKUP(D1139,Lookup!$A$2:$B$4,2,FALSE())</f>
        <v>0.1</v>
      </c>
      <c r="G1139" s="2" t="n">
        <f aca="false">ROUND(E1139*F1139,2)</f>
        <v>220.6</v>
      </c>
      <c r="H1139" s="2" t="n">
        <f aca="false">E1139+G1139</f>
        <v>2426.6</v>
      </c>
      <c r="I1139" s="3" t="s">
        <v>22</v>
      </c>
      <c r="J1139" s="0" t="str">
        <f aca="false">_xlfn.XLOOKUP(C1139,Departments!$A$2:$A$6,Departments!$B$2:$B$6,"Unknown")</f>
        <v>Human Resources</v>
      </c>
    </row>
    <row r="1140" customFormat="false" ht="15" hidden="false" customHeight="false" outlineLevel="0" collapsed="false">
      <c r="A1140" s="0" t="s">
        <v>1167</v>
      </c>
      <c r="B1140" s="4" t="n">
        <v>45702</v>
      </c>
      <c r="C1140" s="0" t="s">
        <v>30</v>
      </c>
      <c r="D1140" s="3" t="s">
        <v>25</v>
      </c>
      <c r="E1140" s="2" t="n">
        <v>2243</v>
      </c>
      <c r="F1140" s="5" t="n">
        <f aca="false">VLOOKUP(D1140,Lookup!$A$2:$B$4,2,FALSE())</f>
        <v>0.15</v>
      </c>
      <c r="G1140" s="2" t="n">
        <f aca="false">ROUND(E1140*F1140,2)</f>
        <v>336.45</v>
      </c>
      <c r="H1140" s="2" t="n">
        <f aca="false">E1140+G1140</f>
        <v>2579.45</v>
      </c>
      <c r="I1140" s="3" t="s">
        <v>22</v>
      </c>
      <c r="J1140" s="0" t="str">
        <f aca="false">_xlfn.XLOOKUP(C1140,Departments!$A$2:$A$6,Departments!$B$2:$B$6,"Unknown")</f>
        <v>Technology</v>
      </c>
    </row>
    <row r="1141" customFormat="false" ht="15" hidden="false" customHeight="false" outlineLevel="0" collapsed="false">
      <c r="A1141" s="0" t="s">
        <v>1168</v>
      </c>
      <c r="B1141" s="4" t="n">
        <v>45703</v>
      </c>
      <c r="C1141" s="0" t="s">
        <v>32</v>
      </c>
      <c r="D1141" s="3" t="s">
        <v>28</v>
      </c>
      <c r="E1141" s="2" t="n">
        <v>2280</v>
      </c>
      <c r="F1141" s="5" t="n">
        <f aca="false">VLOOKUP(D1141,Lookup!$A$2:$B$4,2,FALSE())</f>
        <v>0.05</v>
      </c>
      <c r="G1141" s="2" t="n">
        <f aca="false">ROUND(E1141*F1141,2)</f>
        <v>114</v>
      </c>
      <c r="H1141" s="2" t="n">
        <f aca="false">E1141+G1141</f>
        <v>2394</v>
      </c>
      <c r="I1141" s="3" t="s">
        <v>22</v>
      </c>
      <c r="J1141" s="0" t="str">
        <f aca="false">_xlfn.XLOOKUP(C1141,Departments!$A$2:$A$6,Departments!$B$2:$B$6,"Unknown")</f>
        <v>Operations</v>
      </c>
    </row>
    <row r="1142" customFormat="false" ht="15" hidden="false" customHeight="false" outlineLevel="0" collapsed="false">
      <c r="A1142" s="0" t="s">
        <v>1169</v>
      </c>
      <c r="B1142" s="4" t="n">
        <v>45704</v>
      </c>
      <c r="C1142" s="0" t="s">
        <v>20</v>
      </c>
      <c r="D1142" s="3" t="s">
        <v>21</v>
      </c>
      <c r="E1142" s="2" t="n">
        <v>2317</v>
      </c>
      <c r="F1142" s="5" t="n">
        <f aca="false">VLOOKUP(D1142,Lookup!$A$2:$B$4,2,FALSE())</f>
        <v>0.1</v>
      </c>
      <c r="G1142" s="2" t="n">
        <f aca="false">ROUND(E1142*F1142,2)</f>
        <v>231.7</v>
      </c>
      <c r="H1142" s="2" t="n">
        <f aca="false">E1142+G1142</f>
        <v>2548.7</v>
      </c>
      <c r="I1142" s="3" t="s">
        <v>35</v>
      </c>
      <c r="J1142" s="0" t="str">
        <f aca="false">_xlfn.XLOOKUP(C1142,Departments!$A$2:$A$6,Departments!$B$2:$B$6,"Unknown")</f>
        <v>Finance</v>
      </c>
    </row>
    <row r="1143" customFormat="false" ht="15" hidden="false" customHeight="false" outlineLevel="0" collapsed="false">
      <c r="A1143" s="0" t="s">
        <v>1170</v>
      </c>
      <c r="B1143" s="4" t="n">
        <v>45705</v>
      </c>
      <c r="C1143" s="0" t="s">
        <v>24</v>
      </c>
      <c r="D1143" s="3" t="s">
        <v>25</v>
      </c>
      <c r="E1143" s="2" t="n">
        <v>2354</v>
      </c>
      <c r="F1143" s="5" t="n">
        <f aca="false">VLOOKUP(D1143,Lookup!$A$2:$B$4,2,FALSE())</f>
        <v>0.15</v>
      </c>
      <c r="G1143" s="2" t="n">
        <f aca="false">ROUND(E1143*F1143,2)</f>
        <v>353.1</v>
      </c>
      <c r="H1143" s="2" t="n">
        <f aca="false">E1143+G1143</f>
        <v>2707.1</v>
      </c>
      <c r="I1143" s="3" t="s">
        <v>22</v>
      </c>
      <c r="J1143" s="0" t="str">
        <f aca="false">_xlfn.XLOOKUP(C1143,Departments!$A$2:$A$6,Departments!$B$2:$B$6,"Unknown")</f>
        <v>Quality</v>
      </c>
    </row>
    <row r="1144" customFormat="false" ht="15" hidden="false" customHeight="false" outlineLevel="0" collapsed="false">
      <c r="A1144" s="0" t="s">
        <v>1171</v>
      </c>
      <c r="B1144" s="4" t="n">
        <v>45706</v>
      </c>
      <c r="C1144" s="0" t="s">
        <v>27</v>
      </c>
      <c r="D1144" s="3" t="s">
        <v>28</v>
      </c>
      <c r="E1144" s="2" t="n">
        <v>2391</v>
      </c>
      <c r="F1144" s="5" t="n">
        <f aca="false">VLOOKUP(D1144,Lookup!$A$2:$B$4,2,FALSE())</f>
        <v>0.05</v>
      </c>
      <c r="G1144" s="2" t="n">
        <f aca="false">ROUND(E1144*F1144,2)</f>
        <v>119.55</v>
      </c>
      <c r="H1144" s="2" t="n">
        <f aca="false">E1144+G1144</f>
        <v>2510.55</v>
      </c>
      <c r="I1144" s="3" t="s">
        <v>22</v>
      </c>
      <c r="J1144" s="0" t="str">
        <f aca="false">_xlfn.XLOOKUP(C1144,Departments!$A$2:$A$6,Departments!$B$2:$B$6,"Unknown")</f>
        <v>Human Resources</v>
      </c>
    </row>
    <row r="1145" customFormat="false" ht="15" hidden="false" customHeight="false" outlineLevel="0" collapsed="false">
      <c r="A1145" s="0" t="s">
        <v>1172</v>
      </c>
      <c r="B1145" s="4" t="n">
        <v>45707</v>
      </c>
      <c r="C1145" s="0" t="s">
        <v>30</v>
      </c>
      <c r="D1145" s="3" t="s">
        <v>21</v>
      </c>
      <c r="E1145" s="2" t="n">
        <v>2428</v>
      </c>
      <c r="F1145" s="5" t="n">
        <f aca="false">VLOOKUP(D1145,Lookup!$A$2:$B$4,2,FALSE())</f>
        <v>0.1</v>
      </c>
      <c r="G1145" s="2" t="n">
        <f aca="false">ROUND(E1145*F1145,2)</f>
        <v>242.8</v>
      </c>
      <c r="H1145" s="2" t="n">
        <f aca="false">E1145+G1145</f>
        <v>2670.8</v>
      </c>
      <c r="I1145" s="3" t="s">
        <v>22</v>
      </c>
      <c r="J1145" s="0" t="str">
        <f aca="false">_xlfn.XLOOKUP(C1145,Departments!$A$2:$A$6,Departments!$B$2:$B$6,"Unknown")</f>
        <v>Technology</v>
      </c>
    </row>
    <row r="1146" customFormat="false" ht="15" hidden="false" customHeight="false" outlineLevel="0" collapsed="false">
      <c r="A1146" s="0" t="s">
        <v>1173</v>
      </c>
      <c r="B1146" s="4" t="n">
        <v>45708</v>
      </c>
      <c r="C1146" s="0" t="s">
        <v>32</v>
      </c>
      <c r="D1146" s="3" t="s">
        <v>25</v>
      </c>
      <c r="E1146" s="2" t="n">
        <v>2465</v>
      </c>
      <c r="F1146" s="5" t="n">
        <f aca="false">VLOOKUP(D1146,Lookup!$A$2:$B$4,2,FALSE())</f>
        <v>0.15</v>
      </c>
      <c r="G1146" s="2" t="n">
        <f aca="false">ROUND(E1146*F1146,2)</f>
        <v>369.75</v>
      </c>
      <c r="H1146" s="2" t="n">
        <f aca="false">E1146+G1146</f>
        <v>2834.75</v>
      </c>
      <c r="I1146" s="3" t="s">
        <v>22</v>
      </c>
      <c r="J1146" s="0" t="str">
        <f aca="false">_xlfn.XLOOKUP(C1146,Departments!$A$2:$A$6,Departments!$B$2:$B$6,"Unknown")</f>
        <v>Operations</v>
      </c>
    </row>
    <row r="1147" customFormat="false" ht="15" hidden="false" customHeight="false" outlineLevel="0" collapsed="false">
      <c r="A1147" s="0" t="s">
        <v>1174</v>
      </c>
      <c r="B1147" s="4" t="n">
        <v>45709</v>
      </c>
      <c r="C1147" s="0" t="s">
        <v>20</v>
      </c>
      <c r="D1147" s="3" t="s">
        <v>28</v>
      </c>
      <c r="E1147" s="2" t="n">
        <v>2502</v>
      </c>
      <c r="F1147" s="5" t="n">
        <f aca="false">VLOOKUP(D1147,Lookup!$A$2:$B$4,2,FALSE())</f>
        <v>0.05</v>
      </c>
      <c r="G1147" s="2" t="n">
        <f aca="false">ROUND(E1147*F1147,2)</f>
        <v>125.1</v>
      </c>
      <c r="H1147" s="2" t="n">
        <f aca="false">E1147+G1147</f>
        <v>2627.1</v>
      </c>
      <c r="I1147" s="3" t="s">
        <v>22</v>
      </c>
      <c r="J1147" s="0" t="str">
        <f aca="false">_xlfn.XLOOKUP(C1147,Departments!$A$2:$A$6,Departments!$B$2:$B$6,"Unknown")</f>
        <v>Finance</v>
      </c>
    </row>
    <row r="1148" customFormat="false" ht="15" hidden="false" customHeight="false" outlineLevel="0" collapsed="false">
      <c r="A1148" s="0" t="s">
        <v>1175</v>
      </c>
      <c r="B1148" s="4" t="n">
        <v>45710</v>
      </c>
      <c r="C1148" s="0" t="s">
        <v>24</v>
      </c>
      <c r="D1148" s="3" t="s">
        <v>21</v>
      </c>
      <c r="E1148" s="2" t="n">
        <v>2539</v>
      </c>
      <c r="F1148" s="5" t="n">
        <f aca="false">VLOOKUP(D1148,Lookup!$A$2:$B$4,2,FALSE())</f>
        <v>0.1</v>
      </c>
      <c r="G1148" s="2" t="n">
        <f aca="false">ROUND(E1148*F1148,2)</f>
        <v>253.9</v>
      </c>
      <c r="H1148" s="2" t="n">
        <f aca="false">E1148+G1148</f>
        <v>2792.9</v>
      </c>
      <c r="I1148" s="3" t="s">
        <v>22</v>
      </c>
      <c r="J1148" s="0" t="str">
        <f aca="false">_xlfn.XLOOKUP(C1148,Departments!$A$2:$A$6,Departments!$B$2:$B$6,"Unknown")</f>
        <v>Quality</v>
      </c>
    </row>
    <row r="1149" customFormat="false" ht="15" hidden="false" customHeight="false" outlineLevel="0" collapsed="false">
      <c r="A1149" s="0" t="s">
        <v>1176</v>
      </c>
      <c r="B1149" s="4" t="n">
        <v>45711</v>
      </c>
      <c r="C1149" s="0" t="s">
        <v>27</v>
      </c>
      <c r="D1149" s="3" t="s">
        <v>25</v>
      </c>
      <c r="E1149" s="2" t="n">
        <v>2576</v>
      </c>
      <c r="F1149" s="5" t="n">
        <f aca="false">VLOOKUP(D1149,Lookup!$A$2:$B$4,2,FALSE())</f>
        <v>0.15</v>
      </c>
      <c r="G1149" s="2" t="n">
        <f aca="false">ROUND(E1149*F1149,2)</f>
        <v>386.4</v>
      </c>
      <c r="H1149" s="2" t="n">
        <f aca="false">E1149+G1149</f>
        <v>2962.4</v>
      </c>
      <c r="I1149" s="3" t="s">
        <v>35</v>
      </c>
      <c r="J1149" s="0" t="str">
        <f aca="false">_xlfn.XLOOKUP(C1149,Departments!$A$2:$A$6,Departments!$B$2:$B$6,"Unknown")</f>
        <v>Human Resources</v>
      </c>
    </row>
    <row r="1150" customFormat="false" ht="15" hidden="false" customHeight="false" outlineLevel="0" collapsed="false">
      <c r="A1150" s="0" t="s">
        <v>1177</v>
      </c>
      <c r="B1150" s="4" t="n">
        <v>45712</v>
      </c>
      <c r="C1150" s="0" t="s">
        <v>30</v>
      </c>
      <c r="D1150" s="3" t="s">
        <v>28</v>
      </c>
      <c r="E1150" s="2" t="n">
        <v>2613</v>
      </c>
      <c r="F1150" s="5" t="n">
        <f aca="false">VLOOKUP(D1150,Lookup!$A$2:$B$4,2,FALSE())</f>
        <v>0.05</v>
      </c>
      <c r="G1150" s="2" t="n">
        <f aca="false">ROUND(E1150*F1150,2)</f>
        <v>130.65</v>
      </c>
      <c r="H1150" s="2" t="n">
        <f aca="false">E1150+G1150</f>
        <v>2743.65</v>
      </c>
      <c r="I1150" s="3" t="s">
        <v>22</v>
      </c>
      <c r="J1150" s="0" t="str">
        <f aca="false">_xlfn.XLOOKUP(C1150,Departments!$A$2:$A$6,Departments!$B$2:$B$6,"Unknown")</f>
        <v>Technology</v>
      </c>
    </row>
    <row r="1151" customFormat="false" ht="15" hidden="false" customHeight="false" outlineLevel="0" collapsed="false">
      <c r="A1151" s="0" t="s">
        <v>1178</v>
      </c>
      <c r="B1151" s="4" t="n">
        <v>45713</v>
      </c>
      <c r="C1151" s="0" t="s">
        <v>32</v>
      </c>
      <c r="D1151" s="3" t="s">
        <v>21</v>
      </c>
      <c r="E1151" s="2" t="n">
        <v>2650</v>
      </c>
      <c r="F1151" s="5" t="n">
        <f aca="false">VLOOKUP(D1151,Lookup!$A$2:$B$4,2,FALSE())</f>
        <v>0.1</v>
      </c>
      <c r="G1151" s="2" t="n">
        <f aca="false">ROUND(E1151*F1151,2)</f>
        <v>265</v>
      </c>
      <c r="H1151" s="2" t="n">
        <f aca="false">E1151+G1151</f>
        <v>2915</v>
      </c>
      <c r="I1151" s="3" t="s">
        <v>22</v>
      </c>
      <c r="J1151" s="0" t="str">
        <f aca="false">_xlfn.XLOOKUP(C1151,Departments!$A$2:$A$6,Departments!$B$2:$B$6,"Unknown")</f>
        <v>Operations</v>
      </c>
    </row>
    <row r="1152" customFormat="false" ht="15" hidden="false" customHeight="false" outlineLevel="0" collapsed="false">
      <c r="A1152" s="0" t="s">
        <v>1179</v>
      </c>
      <c r="B1152" s="4" t="n">
        <v>45714</v>
      </c>
      <c r="C1152" s="0" t="s">
        <v>20</v>
      </c>
      <c r="D1152" s="3" t="s">
        <v>25</v>
      </c>
      <c r="E1152" s="2" t="n">
        <v>2687</v>
      </c>
      <c r="F1152" s="5" t="n">
        <f aca="false">VLOOKUP(D1152,Lookup!$A$2:$B$4,2,FALSE())</f>
        <v>0.15</v>
      </c>
      <c r="G1152" s="2" t="n">
        <f aca="false">ROUND(E1152*F1152,2)</f>
        <v>403.05</v>
      </c>
      <c r="H1152" s="2" t="n">
        <f aca="false">E1152+G1152</f>
        <v>3090.05</v>
      </c>
      <c r="I1152" s="3" t="s">
        <v>22</v>
      </c>
      <c r="J1152" s="0" t="str">
        <f aca="false">_xlfn.XLOOKUP(C1152,Departments!$A$2:$A$6,Departments!$B$2:$B$6,"Unknown")</f>
        <v>Finance</v>
      </c>
    </row>
    <row r="1153" customFormat="false" ht="15" hidden="false" customHeight="false" outlineLevel="0" collapsed="false">
      <c r="A1153" s="0" t="s">
        <v>1180</v>
      </c>
      <c r="B1153" s="4" t="n">
        <v>45715</v>
      </c>
      <c r="C1153" s="0" t="s">
        <v>24</v>
      </c>
      <c r="D1153" s="3" t="s">
        <v>28</v>
      </c>
      <c r="E1153" s="2" t="n">
        <v>2724</v>
      </c>
      <c r="F1153" s="5" t="n">
        <f aca="false">VLOOKUP(D1153,Lookup!$A$2:$B$4,2,FALSE())</f>
        <v>0.05</v>
      </c>
      <c r="G1153" s="2" t="n">
        <f aca="false">ROUND(E1153*F1153,2)</f>
        <v>136.2</v>
      </c>
      <c r="H1153" s="2" t="n">
        <f aca="false">E1153+G1153</f>
        <v>2860.2</v>
      </c>
      <c r="I1153" s="3" t="s">
        <v>22</v>
      </c>
      <c r="J1153" s="0" t="str">
        <f aca="false">_xlfn.XLOOKUP(C1153,Departments!$A$2:$A$6,Departments!$B$2:$B$6,"Unknown")</f>
        <v>Quality</v>
      </c>
    </row>
    <row r="1154" customFormat="false" ht="15" hidden="false" customHeight="false" outlineLevel="0" collapsed="false">
      <c r="A1154" s="0" t="s">
        <v>1181</v>
      </c>
      <c r="B1154" s="4" t="n">
        <v>45716</v>
      </c>
      <c r="C1154" s="0" t="s">
        <v>27</v>
      </c>
      <c r="D1154" s="3" t="s">
        <v>21</v>
      </c>
      <c r="E1154" s="2" t="n">
        <v>2761</v>
      </c>
      <c r="F1154" s="5" t="n">
        <f aca="false">VLOOKUP(D1154,Lookup!$A$2:$B$4,2,FALSE())</f>
        <v>0.1</v>
      </c>
      <c r="G1154" s="2" t="n">
        <f aca="false">ROUND(E1154*F1154,2)</f>
        <v>276.1</v>
      </c>
      <c r="H1154" s="2" t="n">
        <f aca="false">E1154+G1154</f>
        <v>3037.1</v>
      </c>
      <c r="I1154" s="3" t="s">
        <v>22</v>
      </c>
      <c r="J1154" s="0" t="str">
        <f aca="false">_xlfn.XLOOKUP(C1154,Departments!$A$2:$A$6,Departments!$B$2:$B$6,"Unknown")</f>
        <v>Human Resources</v>
      </c>
    </row>
    <row r="1155" customFormat="false" ht="15" hidden="false" customHeight="false" outlineLevel="0" collapsed="false">
      <c r="A1155" s="0" t="s">
        <v>1182</v>
      </c>
      <c r="B1155" s="4" t="n">
        <v>45717</v>
      </c>
      <c r="C1155" s="0" t="s">
        <v>30</v>
      </c>
      <c r="D1155" s="3" t="s">
        <v>25</v>
      </c>
      <c r="E1155" s="2" t="n">
        <v>2798</v>
      </c>
      <c r="F1155" s="5" t="n">
        <f aca="false">VLOOKUP(D1155,Lookup!$A$2:$B$4,2,FALSE())</f>
        <v>0.15</v>
      </c>
      <c r="G1155" s="2" t="n">
        <f aca="false">ROUND(E1155*F1155,2)</f>
        <v>419.7</v>
      </c>
      <c r="H1155" s="2" t="n">
        <f aca="false">E1155+G1155</f>
        <v>3217.7</v>
      </c>
      <c r="I1155" s="3" t="s">
        <v>22</v>
      </c>
      <c r="J1155" s="0" t="str">
        <f aca="false">_xlfn.XLOOKUP(C1155,Departments!$A$2:$A$6,Departments!$B$2:$B$6,"Unknown")</f>
        <v>Technology</v>
      </c>
    </row>
    <row r="1156" customFormat="false" ht="15" hidden="false" customHeight="false" outlineLevel="0" collapsed="false">
      <c r="A1156" s="0" t="s">
        <v>1183</v>
      </c>
      <c r="B1156" s="4" t="n">
        <v>45718</v>
      </c>
      <c r="C1156" s="0" t="s">
        <v>32</v>
      </c>
      <c r="D1156" s="3" t="s">
        <v>28</v>
      </c>
      <c r="E1156" s="2" t="n">
        <v>2835</v>
      </c>
      <c r="F1156" s="5" t="n">
        <f aca="false">VLOOKUP(D1156,Lookup!$A$2:$B$4,2,FALSE())</f>
        <v>0.05</v>
      </c>
      <c r="G1156" s="2" t="n">
        <f aca="false">ROUND(E1156*F1156,2)</f>
        <v>141.75</v>
      </c>
      <c r="H1156" s="2" t="n">
        <f aca="false">E1156+G1156</f>
        <v>2976.75</v>
      </c>
      <c r="I1156" s="3" t="s">
        <v>35</v>
      </c>
      <c r="J1156" s="0" t="str">
        <f aca="false">_xlfn.XLOOKUP(C1156,Departments!$A$2:$A$6,Departments!$B$2:$B$6,"Unknown")</f>
        <v>Operations</v>
      </c>
    </row>
    <row r="1157" customFormat="false" ht="15" hidden="false" customHeight="false" outlineLevel="0" collapsed="false">
      <c r="A1157" s="0" t="s">
        <v>1184</v>
      </c>
      <c r="B1157" s="4" t="n">
        <v>45719</v>
      </c>
      <c r="C1157" s="0" t="s">
        <v>20</v>
      </c>
      <c r="D1157" s="3" t="s">
        <v>21</v>
      </c>
      <c r="E1157" s="2" t="n">
        <v>2872</v>
      </c>
      <c r="F1157" s="5" t="n">
        <f aca="false">VLOOKUP(D1157,Lookup!$A$2:$B$4,2,FALSE())</f>
        <v>0.1</v>
      </c>
      <c r="G1157" s="2" t="n">
        <f aca="false">ROUND(E1157*F1157,2)</f>
        <v>287.2</v>
      </c>
      <c r="H1157" s="2" t="n">
        <f aca="false">E1157+G1157</f>
        <v>3159.2</v>
      </c>
      <c r="I1157" s="3" t="s">
        <v>22</v>
      </c>
      <c r="J1157" s="0" t="str">
        <f aca="false">_xlfn.XLOOKUP(C1157,Departments!$A$2:$A$6,Departments!$B$2:$B$6,"Unknown")</f>
        <v>Finance</v>
      </c>
    </row>
    <row r="1158" customFormat="false" ht="15" hidden="false" customHeight="false" outlineLevel="0" collapsed="false">
      <c r="A1158" s="0" t="s">
        <v>1185</v>
      </c>
      <c r="B1158" s="4" t="n">
        <v>45720</v>
      </c>
      <c r="C1158" s="0" t="s">
        <v>24</v>
      </c>
      <c r="D1158" s="3" t="s">
        <v>25</v>
      </c>
      <c r="E1158" s="2" t="n">
        <v>2909</v>
      </c>
      <c r="F1158" s="5" t="n">
        <f aca="false">VLOOKUP(D1158,Lookup!$A$2:$B$4,2,FALSE())</f>
        <v>0.15</v>
      </c>
      <c r="G1158" s="2" t="n">
        <f aca="false">ROUND(E1158*F1158,2)</f>
        <v>436.35</v>
      </c>
      <c r="H1158" s="2" t="n">
        <f aca="false">E1158+G1158</f>
        <v>3345.35</v>
      </c>
      <c r="I1158" s="3" t="s">
        <v>22</v>
      </c>
      <c r="J1158" s="0" t="str">
        <f aca="false">_xlfn.XLOOKUP(C1158,Departments!$A$2:$A$6,Departments!$B$2:$B$6,"Unknown")</f>
        <v>Quality</v>
      </c>
    </row>
    <row r="1159" customFormat="false" ht="15" hidden="false" customHeight="false" outlineLevel="0" collapsed="false">
      <c r="A1159" s="0" t="s">
        <v>1186</v>
      </c>
      <c r="B1159" s="4" t="n">
        <v>45721</v>
      </c>
      <c r="C1159" s="0" t="s">
        <v>27</v>
      </c>
      <c r="D1159" s="3" t="s">
        <v>28</v>
      </c>
      <c r="E1159" s="2" t="n">
        <v>2946</v>
      </c>
      <c r="F1159" s="5" t="n">
        <f aca="false">VLOOKUP(D1159,Lookup!$A$2:$B$4,2,FALSE())</f>
        <v>0.05</v>
      </c>
      <c r="G1159" s="2" t="n">
        <f aca="false">ROUND(E1159*F1159,2)</f>
        <v>147.3</v>
      </c>
      <c r="H1159" s="2" t="n">
        <f aca="false">E1159+G1159</f>
        <v>3093.3</v>
      </c>
      <c r="I1159" s="3" t="s">
        <v>22</v>
      </c>
      <c r="J1159" s="0" t="str">
        <f aca="false">_xlfn.XLOOKUP(C1159,Departments!$A$2:$A$6,Departments!$B$2:$B$6,"Unknown")</f>
        <v>Human Resources</v>
      </c>
    </row>
    <row r="1160" customFormat="false" ht="15" hidden="false" customHeight="false" outlineLevel="0" collapsed="false">
      <c r="A1160" s="0" t="s">
        <v>1187</v>
      </c>
      <c r="B1160" s="4" t="n">
        <v>45722</v>
      </c>
      <c r="C1160" s="0" t="s">
        <v>30</v>
      </c>
      <c r="D1160" s="3" t="s">
        <v>21</v>
      </c>
      <c r="E1160" s="2" t="n">
        <v>2983</v>
      </c>
      <c r="F1160" s="5" t="n">
        <f aca="false">VLOOKUP(D1160,Lookup!$A$2:$B$4,2,FALSE())</f>
        <v>0.1</v>
      </c>
      <c r="G1160" s="2" t="n">
        <f aca="false">ROUND(E1160*F1160,2)</f>
        <v>298.3</v>
      </c>
      <c r="H1160" s="2" t="n">
        <f aca="false">E1160+G1160</f>
        <v>3281.3</v>
      </c>
      <c r="I1160" s="3" t="s">
        <v>22</v>
      </c>
      <c r="J1160" s="0" t="str">
        <f aca="false">_xlfn.XLOOKUP(C1160,Departments!$A$2:$A$6,Departments!$B$2:$B$6,"Unknown")</f>
        <v>Technology</v>
      </c>
    </row>
    <row r="1161" customFormat="false" ht="15" hidden="false" customHeight="false" outlineLevel="0" collapsed="false">
      <c r="A1161" s="0" t="s">
        <v>1188</v>
      </c>
      <c r="B1161" s="4" t="n">
        <v>45723</v>
      </c>
      <c r="C1161" s="0" t="s">
        <v>32</v>
      </c>
      <c r="D1161" s="3" t="s">
        <v>25</v>
      </c>
      <c r="E1161" s="2" t="n">
        <v>3020</v>
      </c>
      <c r="F1161" s="5" t="n">
        <f aca="false">VLOOKUP(D1161,Lookup!$A$2:$B$4,2,FALSE())</f>
        <v>0.15</v>
      </c>
      <c r="G1161" s="2" t="n">
        <f aca="false">ROUND(E1161*F1161,2)</f>
        <v>453</v>
      </c>
      <c r="H1161" s="2" t="n">
        <f aca="false">E1161+G1161</f>
        <v>3473</v>
      </c>
      <c r="I1161" s="3" t="s">
        <v>22</v>
      </c>
      <c r="J1161" s="0" t="str">
        <f aca="false">_xlfn.XLOOKUP(C1161,Departments!$A$2:$A$6,Departments!$B$2:$B$6,"Unknown")</f>
        <v>Operations</v>
      </c>
    </row>
    <row r="1162" customFormat="false" ht="15" hidden="false" customHeight="false" outlineLevel="0" collapsed="false">
      <c r="A1162" s="0" t="s">
        <v>1189</v>
      </c>
      <c r="B1162" s="4" t="n">
        <v>45724</v>
      </c>
      <c r="C1162" s="0" t="s">
        <v>20</v>
      </c>
      <c r="D1162" s="3" t="s">
        <v>28</v>
      </c>
      <c r="E1162" s="2" t="n">
        <v>3057</v>
      </c>
      <c r="F1162" s="5" t="n">
        <f aca="false">VLOOKUP(D1162,Lookup!$A$2:$B$4,2,FALSE())</f>
        <v>0.05</v>
      </c>
      <c r="G1162" s="2" t="n">
        <f aca="false">ROUND(E1162*F1162,2)</f>
        <v>152.85</v>
      </c>
      <c r="H1162" s="2" t="n">
        <f aca="false">E1162+G1162</f>
        <v>3209.85</v>
      </c>
      <c r="I1162" s="3" t="s">
        <v>22</v>
      </c>
      <c r="J1162" s="0" t="str">
        <f aca="false">_xlfn.XLOOKUP(C1162,Departments!$A$2:$A$6,Departments!$B$2:$B$6,"Unknown")</f>
        <v>Finance</v>
      </c>
    </row>
    <row r="1163" customFormat="false" ht="15" hidden="false" customHeight="false" outlineLevel="0" collapsed="false">
      <c r="A1163" s="0" t="s">
        <v>1190</v>
      </c>
      <c r="B1163" s="4" t="n">
        <v>45725</v>
      </c>
      <c r="C1163" s="0" t="s">
        <v>24</v>
      </c>
      <c r="D1163" s="3" t="s">
        <v>21</v>
      </c>
      <c r="E1163" s="2" t="n">
        <v>3094</v>
      </c>
      <c r="F1163" s="5" t="n">
        <f aca="false">VLOOKUP(D1163,Lookup!$A$2:$B$4,2,FALSE())</f>
        <v>0.1</v>
      </c>
      <c r="G1163" s="2" t="n">
        <f aca="false">ROUND(E1163*F1163,2)</f>
        <v>309.4</v>
      </c>
      <c r="H1163" s="2" t="n">
        <f aca="false">E1163+G1163</f>
        <v>3403.4</v>
      </c>
      <c r="I1163" s="3" t="s">
        <v>35</v>
      </c>
      <c r="J1163" s="0" t="str">
        <f aca="false">_xlfn.XLOOKUP(C1163,Departments!$A$2:$A$6,Departments!$B$2:$B$6,"Unknown")</f>
        <v>Quality</v>
      </c>
    </row>
    <row r="1164" customFormat="false" ht="15" hidden="false" customHeight="false" outlineLevel="0" collapsed="false">
      <c r="A1164" s="0" t="s">
        <v>1191</v>
      </c>
      <c r="B1164" s="4" t="n">
        <v>45726</v>
      </c>
      <c r="C1164" s="0" t="s">
        <v>27</v>
      </c>
      <c r="D1164" s="3" t="s">
        <v>25</v>
      </c>
      <c r="E1164" s="2" t="n">
        <v>3131</v>
      </c>
      <c r="F1164" s="5" t="n">
        <f aca="false">VLOOKUP(D1164,Lookup!$A$2:$B$4,2,FALSE())</f>
        <v>0.15</v>
      </c>
      <c r="G1164" s="2" t="n">
        <f aca="false">ROUND(E1164*F1164,2)</f>
        <v>469.65</v>
      </c>
      <c r="H1164" s="2" t="n">
        <f aca="false">E1164+G1164</f>
        <v>3600.65</v>
      </c>
      <c r="I1164" s="3" t="s">
        <v>22</v>
      </c>
      <c r="J1164" s="0" t="str">
        <f aca="false">_xlfn.XLOOKUP(C1164,Departments!$A$2:$A$6,Departments!$B$2:$B$6,"Unknown")</f>
        <v>Human Resources</v>
      </c>
    </row>
    <row r="1165" customFormat="false" ht="15" hidden="false" customHeight="false" outlineLevel="0" collapsed="false">
      <c r="A1165" s="0" t="s">
        <v>1192</v>
      </c>
      <c r="B1165" s="4" t="n">
        <v>45727</v>
      </c>
      <c r="C1165" s="0" t="s">
        <v>30</v>
      </c>
      <c r="D1165" s="3" t="s">
        <v>28</v>
      </c>
      <c r="E1165" s="2" t="n">
        <v>3168</v>
      </c>
      <c r="F1165" s="5" t="n">
        <f aca="false">VLOOKUP(D1165,Lookup!$A$2:$B$4,2,FALSE())</f>
        <v>0.05</v>
      </c>
      <c r="G1165" s="2" t="n">
        <f aca="false">ROUND(E1165*F1165,2)</f>
        <v>158.4</v>
      </c>
      <c r="H1165" s="2" t="n">
        <f aca="false">E1165+G1165</f>
        <v>3326.4</v>
      </c>
      <c r="I1165" s="3" t="s">
        <v>22</v>
      </c>
      <c r="J1165" s="0" t="str">
        <f aca="false">_xlfn.XLOOKUP(C1165,Departments!$A$2:$A$6,Departments!$B$2:$B$6,"Unknown")</f>
        <v>Technology</v>
      </c>
    </row>
    <row r="1166" customFormat="false" ht="15" hidden="false" customHeight="false" outlineLevel="0" collapsed="false">
      <c r="A1166" s="0" t="s">
        <v>1193</v>
      </c>
      <c r="B1166" s="4" t="n">
        <v>45728</v>
      </c>
      <c r="C1166" s="0" t="s">
        <v>32</v>
      </c>
      <c r="D1166" s="3" t="s">
        <v>21</v>
      </c>
      <c r="E1166" s="2" t="n">
        <v>3205</v>
      </c>
      <c r="F1166" s="5" t="n">
        <f aca="false">VLOOKUP(D1166,Lookup!$A$2:$B$4,2,FALSE())</f>
        <v>0.1</v>
      </c>
      <c r="G1166" s="2" t="n">
        <f aca="false">ROUND(E1166*F1166,2)</f>
        <v>320.5</v>
      </c>
      <c r="H1166" s="2" t="n">
        <f aca="false">E1166+G1166</f>
        <v>3525.5</v>
      </c>
      <c r="I1166" s="3" t="s">
        <v>22</v>
      </c>
      <c r="J1166" s="0" t="str">
        <f aca="false">_xlfn.XLOOKUP(C1166,Departments!$A$2:$A$6,Departments!$B$2:$B$6,"Unknown")</f>
        <v>Operations</v>
      </c>
    </row>
    <row r="1167" customFormat="false" ht="15" hidden="false" customHeight="false" outlineLevel="0" collapsed="false">
      <c r="A1167" s="0" t="s">
        <v>1194</v>
      </c>
      <c r="B1167" s="4" t="n">
        <v>45729</v>
      </c>
      <c r="C1167" s="0" t="s">
        <v>20</v>
      </c>
      <c r="D1167" s="3" t="s">
        <v>25</v>
      </c>
      <c r="E1167" s="2" t="n">
        <v>3242</v>
      </c>
      <c r="F1167" s="5" t="n">
        <f aca="false">VLOOKUP(D1167,Lookup!$A$2:$B$4,2,FALSE())</f>
        <v>0.15</v>
      </c>
      <c r="G1167" s="2" t="n">
        <f aca="false">ROUND(E1167*F1167,2)</f>
        <v>486.3</v>
      </c>
      <c r="H1167" s="2" t="n">
        <f aca="false">E1167+G1167</f>
        <v>3728.3</v>
      </c>
      <c r="I1167" s="3" t="s">
        <v>22</v>
      </c>
      <c r="J1167" s="0" t="str">
        <f aca="false">_xlfn.XLOOKUP(C1167,Departments!$A$2:$A$6,Departments!$B$2:$B$6,"Unknown")</f>
        <v>Finance</v>
      </c>
    </row>
    <row r="1168" customFormat="false" ht="15" hidden="false" customHeight="false" outlineLevel="0" collapsed="false">
      <c r="A1168" s="0" t="s">
        <v>1195</v>
      </c>
      <c r="B1168" s="4" t="n">
        <v>45730</v>
      </c>
      <c r="C1168" s="0" t="s">
        <v>24</v>
      </c>
      <c r="D1168" s="3" t="s">
        <v>28</v>
      </c>
      <c r="E1168" s="2" t="n">
        <v>3279</v>
      </c>
      <c r="F1168" s="5" t="n">
        <f aca="false">VLOOKUP(D1168,Lookup!$A$2:$B$4,2,FALSE())</f>
        <v>0.05</v>
      </c>
      <c r="G1168" s="2" t="n">
        <f aca="false">ROUND(E1168*F1168,2)</f>
        <v>163.95</v>
      </c>
      <c r="H1168" s="2" t="n">
        <f aca="false">E1168+G1168</f>
        <v>3442.95</v>
      </c>
      <c r="I1168" s="3" t="s">
        <v>22</v>
      </c>
      <c r="J1168" s="0" t="str">
        <f aca="false">_xlfn.XLOOKUP(C1168,Departments!$A$2:$A$6,Departments!$B$2:$B$6,"Unknown")</f>
        <v>Quality</v>
      </c>
    </row>
    <row r="1169" customFormat="false" ht="15" hidden="false" customHeight="false" outlineLevel="0" collapsed="false">
      <c r="A1169" s="0" t="s">
        <v>1196</v>
      </c>
      <c r="B1169" s="4" t="n">
        <v>45731</v>
      </c>
      <c r="C1169" s="0" t="s">
        <v>27</v>
      </c>
      <c r="D1169" s="3" t="s">
        <v>21</v>
      </c>
      <c r="E1169" s="2" t="n">
        <v>3316</v>
      </c>
      <c r="F1169" s="5" t="n">
        <f aca="false">VLOOKUP(D1169,Lookup!$A$2:$B$4,2,FALSE())</f>
        <v>0.1</v>
      </c>
      <c r="G1169" s="2" t="n">
        <f aca="false">ROUND(E1169*F1169,2)</f>
        <v>331.6</v>
      </c>
      <c r="H1169" s="2" t="n">
        <f aca="false">E1169+G1169</f>
        <v>3647.6</v>
      </c>
      <c r="I1169" s="3" t="s">
        <v>22</v>
      </c>
      <c r="J1169" s="0" t="str">
        <f aca="false">_xlfn.XLOOKUP(C1169,Departments!$A$2:$A$6,Departments!$B$2:$B$6,"Unknown")</f>
        <v>Human Resources</v>
      </c>
    </row>
    <row r="1170" customFormat="false" ht="15" hidden="false" customHeight="false" outlineLevel="0" collapsed="false">
      <c r="A1170" s="0" t="s">
        <v>1197</v>
      </c>
      <c r="B1170" s="4" t="n">
        <v>45732</v>
      </c>
      <c r="C1170" s="0" t="s">
        <v>30</v>
      </c>
      <c r="D1170" s="3" t="s">
        <v>25</v>
      </c>
      <c r="E1170" s="2" t="n">
        <v>3353</v>
      </c>
      <c r="F1170" s="5" t="n">
        <f aca="false">VLOOKUP(D1170,Lookup!$A$2:$B$4,2,FALSE())</f>
        <v>0.15</v>
      </c>
      <c r="G1170" s="2" t="n">
        <f aca="false">ROUND(E1170*F1170,2)</f>
        <v>502.95</v>
      </c>
      <c r="H1170" s="2" t="n">
        <f aca="false">E1170+G1170</f>
        <v>3855.95</v>
      </c>
      <c r="I1170" s="3" t="s">
        <v>35</v>
      </c>
      <c r="J1170" s="0" t="str">
        <f aca="false">_xlfn.XLOOKUP(C1170,Departments!$A$2:$A$6,Departments!$B$2:$B$6,"Unknown")</f>
        <v>Technology</v>
      </c>
    </row>
    <row r="1171" customFormat="false" ht="15" hidden="false" customHeight="false" outlineLevel="0" collapsed="false">
      <c r="A1171" s="0" t="s">
        <v>1198</v>
      </c>
      <c r="B1171" s="4" t="n">
        <v>45733</v>
      </c>
      <c r="C1171" s="0" t="s">
        <v>32</v>
      </c>
      <c r="D1171" s="3" t="s">
        <v>28</v>
      </c>
      <c r="E1171" s="2" t="n">
        <v>3390</v>
      </c>
      <c r="F1171" s="5" t="n">
        <f aca="false">VLOOKUP(D1171,Lookup!$A$2:$B$4,2,FALSE())</f>
        <v>0.05</v>
      </c>
      <c r="G1171" s="2" t="n">
        <f aca="false">ROUND(E1171*F1171,2)</f>
        <v>169.5</v>
      </c>
      <c r="H1171" s="2" t="n">
        <f aca="false">E1171+G1171</f>
        <v>3559.5</v>
      </c>
      <c r="I1171" s="3" t="s">
        <v>22</v>
      </c>
      <c r="J1171" s="0" t="str">
        <f aca="false">_xlfn.XLOOKUP(C1171,Departments!$A$2:$A$6,Departments!$B$2:$B$6,"Unknown")</f>
        <v>Operations</v>
      </c>
    </row>
    <row r="1172" customFormat="false" ht="15" hidden="false" customHeight="false" outlineLevel="0" collapsed="false">
      <c r="A1172" s="0" t="s">
        <v>1199</v>
      </c>
      <c r="B1172" s="4" t="n">
        <v>45734</v>
      </c>
      <c r="C1172" s="0" t="s">
        <v>20</v>
      </c>
      <c r="D1172" s="3" t="s">
        <v>21</v>
      </c>
      <c r="E1172" s="2" t="n">
        <v>3427</v>
      </c>
      <c r="F1172" s="5" t="n">
        <f aca="false">VLOOKUP(D1172,Lookup!$A$2:$B$4,2,FALSE())</f>
        <v>0.1</v>
      </c>
      <c r="G1172" s="2" t="n">
        <f aca="false">ROUND(E1172*F1172,2)</f>
        <v>342.7</v>
      </c>
      <c r="H1172" s="2" t="n">
        <f aca="false">E1172+G1172</f>
        <v>3769.7</v>
      </c>
      <c r="I1172" s="3" t="s">
        <v>22</v>
      </c>
      <c r="J1172" s="0" t="str">
        <f aca="false">_xlfn.XLOOKUP(C1172,Departments!$A$2:$A$6,Departments!$B$2:$B$6,"Unknown")</f>
        <v>Finance</v>
      </c>
    </row>
    <row r="1173" customFormat="false" ht="15" hidden="false" customHeight="false" outlineLevel="0" collapsed="false">
      <c r="A1173" s="0" t="s">
        <v>1200</v>
      </c>
      <c r="B1173" s="4" t="n">
        <v>45735</v>
      </c>
      <c r="C1173" s="0" t="s">
        <v>24</v>
      </c>
      <c r="D1173" s="3" t="s">
        <v>25</v>
      </c>
      <c r="E1173" s="2" t="n">
        <v>3464</v>
      </c>
      <c r="F1173" s="5" t="n">
        <f aca="false">VLOOKUP(D1173,Lookup!$A$2:$B$4,2,FALSE())</f>
        <v>0.15</v>
      </c>
      <c r="G1173" s="2" t="n">
        <f aca="false">ROUND(E1173*F1173,2)</f>
        <v>519.6</v>
      </c>
      <c r="H1173" s="2" t="n">
        <f aca="false">E1173+G1173</f>
        <v>3983.6</v>
      </c>
      <c r="I1173" s="3" t="s">
        <v>22</v>
      </c>
      <c r="J1173" s="0" t="str">
        <f aca="false">_xlfn.XLOOKUP(C1173,Departments!$A$2:$A$6,Departments!$B$2:$B$6,"Unknown")</f>
        <v>Quality</v>
      </c>
    </row>
    <row r="1174" customFormat="false" ht="15" hidden="false" customHeight="false" outlineLevel="0" collapsed="false">
      <c r="A1174" s="0" t="s">
        <v>1201</v>
      </c>
      <c r="B1174" s="4" t="n">
        <v>45736</v>
      </c>
      <c r="C1174" s="0" t="s">
        <v>27</v>
      </c>
      <c r="D1174" s="3" t="s">
        <v>28</v>
      </c>
      <c r="E1174" s="2" t="n">
        <v>3501</v>
      </c>
      <c r="F1174" s="5" t="n">
        <f aca="false">VLOOKUP(D1174,Lookup!$A$2:$B$4,2,FALSE())</f>
        <v>0.05</v>
      </c>
      <c r="G1174" s="2" t="n">
        <f aca="false">ROUND(E1174*F1174,2)</f>
        <v>175.05</v>
      </c>
      <c r="H1174" s="2" t="n">
        <f aca="false">E1174+G1174</f>
        <v>3676.05</v>
      </c>
      <c r="I1174" s="3" t="s">
        <v>22</v>
      </c>
      <c r="J1174" s="0" t="str">
        <f aca="false">_xlfn.XLOOKUP(C1174,Departments!$A$2:$A$6,Departments!$B$2:$B$6,"Unknown")</f>
        <v>Human Resources</v>
      </c>
    </row>
    <row r="1175" customFormat="false" ht="15" hidden="false" customHeight="false" outlineLevel="0" collapsed="false">
      <c r="A1175" s="0" t="s">
        <v>1202</v>
      </c>
      <c r="B1175" s="4" t="n">
        <v>45737</v>
      </c>
      <c r="C1175" s="0" t="s">
        <v>30</v>
      </c>
      <c r="D1175" s="3" t="s">
        <v>21</v>
      </c>
      <c r="E1175" s="2" t="n">
        <v>3538</v>
      </c>
      <c r="F1175" s="5" t="n">
        <f aca="false">VLOOKUP(D1175,Lookup!$A$2:$B$4,2,FALSE())</f>
        <v>0.1</v>
      </c>
      <c r="G1175" s="2" t="n">
        <f aca="false">ROUND(E1175*F1175,2)</f>
        <v>353.8</v>
      </c>
      <c r="H1175" s="2" t="n">
        <f aca="false">E1175+G1175</f>
        <v>3891.8</v>
      </c>
      <c r="I1175" s="3" t="s">
        <v>22</v>
      </c>
      <c r="J1175" s="0" t="str">
        <f aca="false">_xlfn.XLOOKUP(C1175,Departments!$A$2:$A$6,Departments!$B$2:$B$6,"Unknown")</f>
        <v>Technology</v>
      </c>
    </row>
    <row r="1176" customFormat="false" ht="15" hidden="false" customHeight="false" outlineLevel="0" collapsed="false">
      <c r="A1176" s="0" t="s">
        <v>1203</v>
      </c>
      <c r="B1176" s="4" t="n">
        <v>45738</v>
      </c>
      <c r="C1176" s="0" t="s">
        <v>32</v>
      </c>
      <c r="D1176" s="3" t="s">
        <v>25</v>
      </c>
      <c r="E1176" s="2" t="n">
        <v>3575</v>
      </c>
      <c r="F1176" s="5" t="n">
        <f aca="false">VLOOKUP(D1176,Lookup!$A$2:$B$4,2,FALSE())</f>
        <v>0.15</v>
      </c>
      <c r="G1176" s="2" t="n">
        <f aca="false">ROUND(E1176*F1176,2)</f>
        <v>536.25</v>
      </c>
      <c r="H1176" s="2" t="n">
        <f aca="false">E1176+G1176</f>
        <v>4111.25</v>
      </c>
      <c r="I1176" s="3" t="s">
        <v>22</v>
      </c>
      <c r="J1176" s="0" t="str">
        <f aca="false">_xlfn.XLOOKUP(C1176,Departments!$A$2:$A$6,Departments!$B$2:$B$6,"Unknown")</f>
        <v>Operations</v>
      </c>
    </row>
    <row r="1177" customFormat="false" ht="15" hidden="false" customHeight="false" outlineLevel="0" collapsed="false">
      <c r="A1177" s="0" t="s">
        <v>1204</v>
      </c>
      <c r="B1177" s="4" t="n">
        <v>45739</v>
      </c>
      <c r="C1177" s="0" t="s">
        <v>20</v>
      </c>
      <c r="D1177" s="3" t="s">
        <v>28</v>
      </c>
      <c r="E1177" s="2" t="n">
        <v>3612</v>
      </c>
      <c r="F1177" s="5" t="n">
        <f aca="false">VLOOKUP(D1177,Lookup!$A$2:$B$4,2,FALSE())</f>
        <v>0.05</v>
      </c>
      <c r="G1177" s="2" t="n">
        <f aca="false">ROUND(E1177*F1177,2)</f>
        <v>180.6</v>
      </c>
      <c r="H1177" s="2" t="n">
        <f aca="false">E1177+G1177</f>
        <v>3792.6</v>
      </c>
      <c r="I1177" s="3" t="s">
        <v>35</v>
      </c>
      <c r="J1177" s="0" t="str">
        <f aca="false">_xlfn.XLOOKUP(C1177,Departments!$A$2:$A$6,Departments!$B$2:$B$6,"Unknown")</f>
        <v>Finance</v>
      </c>
    </row>
    <row r="1178" customFormat="false" ht="15" hidden="false" customHeight="false" outlineLevel="0" collapsed="false">
      <c r="A1178" s="0" t="s">
        <v>1205</v>
      </c>
      <c r="B1178" s="4" t="n">
        <v>45740</v>
      </c>
      <c r="C1178" s="0" t="s">
        <v>24</v>
      </c>
      <c r="D1178" s="3" t="s">
        <v>21</v>
      </c>
      <c r="E1178" s="2" t="n">
        <v>3649</v>
      </c>
      <c r="F1178" s="5" t="n">
        <f aca="false">VLOOKUP(D1178,Lookup!$A$2:$B$4,2,FALSE())</f>
        <v>0.1</v>
      </c>
      <c r="G1178" s="2" t="n">
        <f aca="false">ROUND(E1178*F1178,2)</f>
        <v>364.9</v>
      </c>
      <c r="H1178" s="2" t="n">
        <f aca="false">E1178+G1178</f>
        <v>4013.9</v>
      </c>
      <c r="I1178" s="3" t="s">
        <v>22</v>
      </c>
      <c r="J1178" s="0" t="str">
        <f aca="false">_xlfn.XLOOKUP(C1178,Departments!$A$2:$A$6,Departments!$B$2:$B$6,"Unknown")</f>
        <v>Quality</v>
      </c>
    </row>
    <row r="1179" customFormat="false" ht="15" hidden="false" customHeight="false" outlineLevel="0" collapsed="false">
      <c r="A1179" s="0" t="s">
        <v>1206</v>
      </c>
      <c r="B1179" s="4" t="n">
        <v>45741</v>
      </c>
      <c r="C1179" s="0" t="s">
        <v>27</v>
      </c>
      <c r="D1179" s="3" t="s">
        <v>25</v>
      </c>
      <c r="E1179" s="2" t="n">
        <v>3686</v>
      </c>
      <c r="F1179" s="5" t="n">
        <f aca="false">VLOOKUP(D1179,Lookup!$A$2:$B$4,2,FALSE())</f>
        <v>0.15</v>
      </c>
      <c r="G1179" s="2" t="n">
        <f aca="false">ROUND(E1179*F1179,2)</f>
        <v>552.9</v>
      </c>
      <c r="H1179" s="2" t="n">
        <f aca="false">E1179+G1179</f>
        <v>4238.9</v>
      </c>
      <c r="I1179" s="3" t="s">
        <v>22</v>
      </c>
      <c r="J1179" s="0" t="str">
        <f aca="false">_xlfn.XLOOKUP(C1179,Departments!$A$2:$A$6,Departments!$B$2:$B$6,"Unknown")</f>
        <v>Human Resources</v>
      </c>
    </row>
    <row r="1180" customFormat="false" ht="15" hidden="false" customHeight="false" outlineLevel="0" collapsed="false">
      <c r="A1180" s="0" t="s">
        <v>1207</v>
      </c>
      <c r="B1180" s="4" t="n">
        <v>45742</v>
      </c>
      <c r="C1180" s="0" t="s">
        <v>30</v>
      </c>
      <c r="D1180" s="3" t="s">
        <v>28</v>
      </c>
      <c r="E1180" s="2" t="n">
        <v>3723</v>
      </c>
      <c r="F1180" s="5" t="n">
        <f aca="false">VLOOKUP(D1180,Lookup!$A$2:$B$4,2,FALSE())</f>
        <v>0.05</v>
      </c>
      <c r="G1180" s="2" t="n">
        <f aca="false">ROUND(E1180*F1180,2)</f>
        <v>186.15</v>
      </c>
      <c r="H1180" s="2" t="n">
        <f aca="false">E1180+G1180</f>
        <v>3909.15</v>
      </c>
      <c r="I1180" s="3" t="s">
        <v>22</v>
      </c>
      <c r="J1180" s="0" t="str">
        <f aca="false">_xlfn.XLOOKUP(C1180,Departments!$A$2:$A$6,Departments!$B$2:$B$6,"Unknown")</f>
        <v>Technology</v>
      </c>
    </row>
    <row r="1181" customFormat="false" ht="15" hidden="false" customHeight="false" outlineLevel="0" collapsed="false">
      <c r="A1181" s="0" t="s">
        <v>1208</v>
      </c>
      <c r="B1181" s="4" t="n">
        <v>45743</v>
      </c>
      <c r="C1181" s="0" t="s">
        <v>32</v>
      </c>
      <c r="D1181" s="3" t="s">
        <v>21</v>
      </c>
      <c r="E1181" s="2" t="n">
        <v>3760</v>
      </c>
      <c r="F1181" s="5" t="n">
        <f aca="false">VLOOKUP(D1181,Lookup!$A$2:$B$4,2,FALSE())</f>
        <v>0.1</v>
      </c>
      <c r="G1181" s="2" t="n">
        <f aca="false">ROUND(E1181*F1181,2)</f>
        <v>376</v>
      </c>
      <c r="H1181" s="2" t="n">
        <f aca="false">E1181+G1181</f>
        <v>4136</v>
      </c>
      <c r="I1181" s="3" t="s">
        <v>22</v>
      </c>
      <c r="J1181" s="0" t="str">
        <f aca="false">_xlfn.XLOOKUP(C1181,Departments!$A$2:$A$6,Departments!$B$2:$B$6,"Unknown")</f>
        <v>Operations</v>
      </c>
    </row>
    <row r="1182" customFormat="false" ht="15" hidden="false" customHeight="false" outlineLevel="0" collapsed="false">
      <c r="A1182" s="0" t="s">
        <v>1209</v>
      </c>
      <c r="B1182" s="4" t="n">
        <v>45744</v>
      </c>
      <c r="C1182" s="0" t="s">
        <v>20</v>
      </c>
      <c r="D1182" s="3" t="s">
        <v>25</v>
      </c>
      <c r="E1182" s="2" t="n">
        <v>3797</v>
      </c>
      <c r="F1182" s="5" t="n">
        <f aca="false">VLOOKUP(D1182,Lookup!$A$2:$B$4,2,FALSE())</f>
        <v>0.15</v>
      </c>
      <c r="G1182" s="2" t="n">
        <f aca="false">ROUND(E1182*F1182,2)</f>
        <v>569.55</v>
      </c>
      <c r="H1182" s="2" t="n">
        <f aca="false">E1182+G1182</f>
        <v>4366.55</v>
      </c>
      <c r="I1182" s="3" t="s">
        <v>22</v>
      </c>
      <c r="J1182" s="0" t="str">
        <f aca="false">_xlfn.XLOOKUP(C1182,Departments!$A$2:$A$6,Departments!$B$2:$B$6,"Unknown")</f>
        <v>Finance</v>
      </c>
    </row>
    <row r="1183" customFormat="false" ht="15" hidden="false" customHeight="false" outlineLevel="0" collapsed="false">
      <c r="A1183" s="0" t="s">
        <v>1210</v>
      </c>
      <c r="B1183" s="4" t="n">
        <v>45745</v>
      </c>
      <c r="C1183" s="0" t="s">
        <v>24</v>
      </c>
      <c r="D1183" s="3" t="s">
        <v>28</v>
      </c>
      <c r="E1183" s="2" t="n">
        <v>3834</v>
      </c>
      <c r="F1183" s="5" t="n">
        <f aca="false">VLOOKUP(D1183,Lookup!$A$2:$B$4,2,FALSE())</f>
        <v>0.05</v>
      </c>
      <c r="G1183" s="2" t="n">
        <f aca="false">ROUND(E1183*F1183,2)</f>
        <v>191.7</v>
      </c>
      <c r="H1183" s="2" t="n">
        <f aca="false">E1183+G1183</f>
        <v>4025.7</v>
      </c>
      <c r="I1183" s="3" t="s">
        <v>22</v>
      </c>
      <c r="J1183" s="0" t="str">
        <f aca="false">_xlfn.XLOOKUP(C1183,Departments!$A$2:$A$6,Departments!$B$2:$B$6,"Unknown")</f>
        <v>Quality</v>
      </c>
    </row>
    <row r="1184" customFormat="false" ht="15" hidden="false" customHeight="false" outlineLevel="0" collapsed="false">
      <c r="A1184" s="0" t="s">
        <v>1211</v>
      </c>
      <c r="B1184" s="4" t="n">
        <v>45746</v>
      </c>
      <c r="C1184" s="0" t="s">
        <v>27</v>
      </c>
      <c r="D1184" s="3" t="s">
        <v>21</v>
      </c>
      <c r="E1184" s="2" t="n">
        <v>3871</v>
      </c>
      <c r="F1184" s="5" t="n">
        <f aca="false">VLOOKUP(D1184,Lookup!$A$2:$B$4,2,FALSE())</f>
        <v>0.1</v>
      </c>
      <c r="G1184" s="2" t="n">
        <f aca="false">ROUND(E1184*F1184,2)</f>
        <v>387.1</v>
      </c>
      <c r="H1184" s="2" t="n">
        <f aca="false">E1184+G1184</f>
        <v>4258.1</v>
      </c>
      <c r="I1184" s="3" t="s">
        <v>35</v>
      </c>
      <c r="J1184" s="0" t="str">
        <f aca="false">_xlfn.XLOOKUP(C1184,Departments!$A$2:$A$6,Departments!$B$2:$B$6,"Unknown")</f>
        <v>Human Resources</v>
      </c>
    </row>
    <row r="1185" customFormat="false" ht="15" hidden="false" customHeight="false" outlineLevel="0" collapsed="false">
      <c r="A1185" s="0" t="s">
        <v>1212</v>
      </c>
      <c r="B1185" s="4" t="n">
        <v>45747</v>
      </c>
      <c r="C1185" s="0" t="s">
        <v>30</v>
      </c>
      <c r="D1185" s="3" t="s">
        <v>25</v>
      </c>
      <c r="E1185" s="2" t="n">
        <v>3908</v>
      </c>
      <c r="F1185" s="5" t="n">
        <f aca="false">VLOOKUP(D1185,Lookup!$A$2:$B$4,2,FALSE())</f>
        <v>0.15</v>
      </c>
      <c r="G1185" s="2" t="n">
        <f aca="false">ROUND(E1185*F1185,2)</f>
        <v>586.2</v>
      </c>
      <c r="H1185" s="2" t="n">
        <f aca="false">E1185+G1185</f>
        <v>4494.2</v>
      </c>
      <c r="I1185" s="3" t="s">
        <v>22</v>
      </c>
      <c r="J1185" s="0" t="str">
        <f aca="false">_xlfn.XLOOKUP(C1185,Departments!$A$2:$A$6,Departments!$B$2:$B$6,"Unknown")</f>
        <v>Technology</v>
      </c>
    </row>
    <row r="1186" customFormat="false" ht="15" hidden="false" customHeight="false" outlineLevel="0" collapsed="false">
      <c r="A1186" s="0" t="s">
        <v>1213</v>
      </c>
      <c r="B1186" s="4" t="n">
        <v>45748</v>
      </c>
      <c r="C1186" s="0" t="s">
        <v>32</v>
      </c>
      <c r="D1186" s="3" t="s">
        <v>28</v>
      </c>
      <c r="E1186" s="2" t="n">
        <v>3945</v>
      </c>
      <c r="F1186" s="5" t="n">
        <f aca="false">VLOOKUP(D1186,Lookup!$A$2:$B$4,2,FALSE())</f>
        <v>0.05</v>
      </c>
      <c r="G1186" s="2" t="n">
        <f aca="false">ROUND(E1186*F1186,2)</f>
        <v>197.25</v>
      </c>
      <c r="H1186" s="2" t="n">
        <f aca="false">E1186+G1186</f>
        <v>4142.25</v>
      </c>
      <c r="I1186" s="3" t="s">
        <v>22</v>
      </c>
      <c r="J1186" s="0" t="str">
        <f aca="false">_xlfn.XLOOKUP(C1186,Departments!$A$2:$A$6,Departments!$B$2:$B$6,"Unknown")</f>
        <v>Operations</v>
      </c>
    </row>
    <row r="1187" customFormat="false" ht="15" hidden="false" customHeight="false" outlineLevel="0" collapsed="false">
      <c r="A1187" s="0" t="s">
        <v>1214</v>
      </c>
      <c r="B1187" s="4" t="n">
        <v>45749</v>
      </c>
      <c r="C1187" s="0" t="s">
        <v>20</v>
      </c>
      <c r="D1187" s="3" t="s">
        <v>21</v>
      </c>
      <c r="E1187" s="2" t="n">
        <v>3982</v>
      </c>
      <c r="F1187" s="5" t="n">
        <f aca="false">VLOOKUP(D1187,Lookup!$A$2:$B$4,2,FALSE())</f>
        <v>0.1</v>
      </c>
      <c r="G1187" s="2" t="n">
        <f aca="false">ROUND(E1187*F1187,2)</f>
        <v>398.2</v>
      </c>
      <c r="H1187" s="2" t="n">
        <f aca="false">E1187+G1187</f>
        <v>4380.2</v>
      </c>
      <c r="I1187" s="3" t="s">
        <v>22</v>
      </c>
      <c r="J1187" s="0" t="str">
        <f aca="false">_xlfn.XLOOKUP(C1187,Departments!$A$2:$A$6,Departments!$B$2:$B$6,"Unknown")</f>
        <v>Finance</v>
      </c>
    </row>
    <row r="1188" customFormat="false" ht="15" hidden="false" customHeight="false" outlineLevel="0" collapsed="false">
      <c r="A1188" s="0" t="s">
        <v>1215</v>
      </c>
      <c r="B1188" s="4" t="n">
        <v>45750</v>
      </c>
      <c r="C1188" s="0" t="s">
        <v>24</v>
      </c>
      <c r="D1188" s="3" t="s">
        <v>25</v>
      </c>
      <c r="E1188" s="2" t="n">
        <v>4019</v>
      </c>
      <c r="F1188" s="5" t="n">
        <f aca="false">VLOOKUP(D1188,Lookup!$A$2:$B$4,2,FALSE())</f>
        <v>0.15</v>
      </c>
      <c r="G1188" s="2" t="n">
        <f aca="false">ROUND(E1188*F1188,2)</f>
        <v>602.85</v>
      </c>
      <c r="H1188" s="2" t="n">
        <f aca="false">E1188+G1188</f>
        <v>4621.85</v>
      </c>
      <c r="I1188" s="3" t="s">
        <v>22</v>
      </c>
      <c r="J1188" s="0" t="str">
        <f aca="false">_xlfn.XLOOKUP(C1188,Departments!$A$2:$A$6,Departments!$B$2:$B$6,"Unknown")</f>
        <v>Quality</v>
      </c>
    </row>
    <row r="1189" customFormat="false" ht="15" hidden="false" customHeight="false" outlineLevel="0" collapsed="false">
      <c r="A1189" s="0" t="s">
        <v>1216</v>
      </c>
      <c r="B1189" s="4" t="n">
        <v>45751</v>
      </c>
      <c r="C1189" s="0" t="s">
        <v>27</v>
      </c>
      <c r="D1189" s="3" t="s">
        <v>28</v>
      </c>
      <c r="E1189" s="2" t="n">
        <v>4056</v>
      </c>
      <c r="F1189" s="5" t="n">
        <f aca="false">VLOOKUP(D1189,Lookup!$A$2:$B$4,2,FALSE())</f>
        <v>0.05</v>
      </c>
      <c r="G1189" s="2" t="n">
        <f aca="false">ROUND(E1189*F1189,2)</f>
        <v>202.8</v>
      </c>
      <c r="H1189" s="2" t="n">
        <f aca="false">E1189+G1189</f>
        <v>4258.8</v>
      </c>
      <c r="I1189" s="3" t="s">
        <v>22</v>
      </c>
      <c r="J1189" s="0" t="str">
        <f aca="false">_xlfn.XLOOKUP(C1189,Departments!$A$2:$A$6,Departments!$B$2:$B$6,"Unknown")</f>
        <v>Human Resources</v>
      </c>
    </row>
    <row r="1190" customFormat="false" ht="15" hidden="false" customHeight="false" outlineLevel="0" collapsed="false">
      <c r="A1190" s="0" t="s">
        <v>1217</v>
      </c>
      <c r="B1190" s="4" t="n">
        <v>45752</v>
      </c>
      <c r="C1190" s="0" t="s">
        <v>30</v>
      </c>
      <c r="D1190" s="3" t="s">
        <v>21</v>
      </c>
      <c r="E1190" s="2" t="n">
        <v>4093</v>
      </c>
      <c r="F1190" s="5" t="n">
        <f aca="false">VLOOKUP(D1190,Lookup!$A$2:$B$4,2,FALSE())</f>
        <v>0.1</v>
      </c>
      <c r="G1190" s="2" t="n">
        <f aca="false">ROUND(E1190*F1190,2)</f>
        <v>409.3</v>
      </c>
      <c r="H1190" s="2" t="n">
        <f aca="false">E1190+G1190</f>
        <v>4502.3</v>
      </c>
      <c r="I1190" s="3" t="s">
        <v>22</v>
      </c>
      <c r="J1190" s="0" t="str">
        <f aca="false">_xlfn.XLOOKUP(C1190,Departments!$A$2:$A$6,Departments!$B$2:$B$6,"Unknown")</f>
        <v>Technology</v>
      </c>
    </row>
    <row r="1191" customFormat="false" ht="15" hidden="false" customHeight="false" outlineLevel="0" collapsed="false">
      <c r="A1191" s="0" t="s">
        <v>1218</v>
      </c>
      <c r="B1191" s="4" t="n">
        <v>45753</v>
      </c>
      <c r="C1191" s="0" t="s">
        <v>32</v>
      </c>
      <c r="D1191" s="3" t="s">
        <v>25</v>
      </c>
      <c r="E1191" s="2" t="n">
        <v>4130</v>
      </c>
      <c r="F1191" s="5" t="n">
        <f aca="false">VLOOKUP(D1191,Lookup!$A$2:$B$4,2,FALSE())</f>
        <v>0.15</v>
      </c>
      <c r="G1191" s="2" t="n">
        <f aca="false">ROUND(E1191*F1191,2)</f>
        <v>619.5</v>
      </c>
      <c r="H1191" s="2" t="n">
        <f aca="false">E1191+G1191</f>
        <v>4749.5</v>
      </c>
      <c r="I1191" s="3" t="s">
        <v>35</v>
      </c>
      <c r="J1191" s="0" t="str">
        <f aca="false">_xlfn.XLOOKUP(C1191,Departments!$A$2:$A$6,Departments!$B$2:$B$6,"Unknown")</f>
        <v>Operations</v>
      </c>
    </row>
    <row r="1192" customFormat="false" ht="15" hidden="false" customHeight="false" outlineLevel="0" collapsed="false">
      <c r="A1192" s="0" t="s">
        <v>1219</v>
      </c>
      <c r="B1192" s="4" t="n">
        <v>45754</v>
      </c>
      <c r="C1192" s="0" t="s">
        <v>20</v>
      </c>
      <c r="D1192" s="3" t="s">
        <v>28</v>
      </c>
      <c r="E1192" s="2" t="n">
        <v>4167</v>
      </c>
      <c r="F1192" s="5" t="n">
        <f aca="false">VLOOKUP(D1192,Lookup!$A$2:$B$4,2,FALSE())</f>
        <v>0.05</v>
      </c>
      <c r="G1192" s="2" t="n">
        <f aca="false">ROUND(E1192*F1192,2)</f>
        <v>208.35</v>
      </c>
      <c r="H1192" s="2" t="n">
        <f aca="false">E1192+G1192</f>
        <v>4375.35</v>
      </c>
      <c r="I1192" s="3" t="s">
        <v>22</v>
      </c>
      <c r="J1192" s="0" t="str">
        <f aca="false">_xlfn.XLOOKUP(C1192,Departments!$A$2:$A$6,Departments!$B$2:$B$6,"Unknown")</f>
        <v>Finance</v>
      </c>
    </row>
    <row r="1193" customFormat="false" ht="15" hidden="false" customHeight="false" outlineLevel="0" collapsed="false">
      <c r="A1193" s="0" t="s">
        <v>1220</v>
      </c>
      <c r="B1193" s="4" t="n">
        <v>45755</v>
      </c>
      <c r="C1193" s="0" t="s">
        <v>24</v>
      </c>
      <c r="D1193" s="3" t="s">
        <v>21</v>
      </c>
      <c r="E1193" s="2" t="n">
        <v>4204</v>
      </c>
      <c r="F1193" s="5" t="n">
        <f aca="false">VLOOKUP(D1193,Lookup!$A$2:$B$4,2,FALSE())</f>
        <v>0.1</v>
      </c>
      <c r="G1193" s="2" t="n">
        <f aca="false">ROUND(E1193*F1193,2)</f>
        <v>420.4</v>
      </c>
      <c r="H1193" s="2" t="n">
        <f aca="false">E1193+G1193</f>
        <v>4624.4</v>
      </c>
      <c r="I1193" s="3" t="s">
        <v>22</v>
      </c>
      <c r="J1193" s="0" t="str">
        <f aca="false">_xlfn.XLOOKUP(C1193,Departments!$A$2:$A$6,Departments!$B$2:$B$6,"Unknown")</f>
        <v>Quality</v>
      </c>
    </row>
    <row r="1194" customFormat="false" ht="15" hidden="false" customHeight="false" outlineLevel="0" collapsed="false">
      <c r="A1194" s="0" t="s">
        <v>1221</v>
      </c>
      <c r="B1194" s="4" t="n">
        <v>45756</v>
      </c>
      <c r="C1194" s="0" t="s">
        <v>27</v>
      </c>
      <c r="D1194" s="3" t="s">
        <v>25</v>
      </c>
      <c r="E1194" s="2" t="n">
        <v>4241</v>
      </c>
      <c r="F1194" s="5" t="n">
        <f aca="false">VLOOKUP(D1194,Lookup!$A$2:$B$4,2,FALSE())</f>
        <v>0.15</v>
      </c>
      <c r="G1194" s="2" t="n">
        <f aca="false">ROUND(E1194*F1194,2)</f>
        <v>636.15</v>
      </c>
      <c r="H1194" s="2" t="n">
        <f aca="false">E1194+G1194</f>
        <v>4877.15</v>
      </c>
      <c r="I1194" s="3" t="s">
        <v>22</v>
      </c>
      <c r="J1194" s="0" t="str">
        <f aca="false">_xlfn.XLOOKUP(C1194,Departments!$A$2:$A$6,Departments!$B$2:$B$6,"Unknown")</f>
        <v>Human Resources</v>
      </c>
    </row>
    <row r="1195" customFormat="false" ht="15" hidden="false" customHeight="false" outlineLevel="0" collapsed="false">
      <c r="A1195" s="0" t="s">
        <v>1222</v>
      </c>
      <c r="B1195" s="4" t="n">
        <v>45757</v>
      </c>
      <c r="C1195" s="0" t="s">
        <v>30</v>
      </c>
      <c r="D1195" s="3" t="s">
        <v>28</v>
      </c>
      <c r="E1195" s="2" t="n">
        <v>4278</v>
      </c>
      <c r="F1195" s="5" t="n">
        <f aca="false">VLOOKUP(D1195,Lookup!$A$2:$B$4,2,FALSE())</f>
        <v>0.05</v>
      </c>
      <c r="G1195" s="2" t="n">
        <f aca="false">ROUND(E1195*F1195,2)</f>
        <v>213.9</v>
      </c>
      <c r="H1195" s="2" t="n">
        <f aca="false">E1195+G1195</f>
        <v>4491.9</v>
      </c>
      <c r="I1195" s="3" t="s">
        <v>22</v>
      </c>
      <c r="J1195" s="0" t="str">
        <f aca="false">_xlfn.XLOOKUP(C1195,Departments!$A$2:$A$6,Departments!$B$2:$B$6,"Unknown")</f>
        <v>Technology</v>
      </c>
    </row>
    <row r="1196" customFormat="false" ht="15" hidden="false" customHeight="false" outlineLevel="0" collapsed="false">
      <c r="A1196" s="0" t="s">
        <v>1223</v>
      </c>
      <c r="B1196" s="4" t="n">
        <v>45758</v>
      </c>
      <c r="C1196" s="0" t="s">
        <v>32</v>
      </c>
      <c r="D1196" s="3" t="s">
        <v>21</v>
      </c>
      <c r="E1196" s="2" t="n">
        <v>4315</v>
      </c>
      <c r="F1196" s="5" t="n">
        <f aca="false">VLOOKUP(D1196,Lookup!$A$2:$B$4,2,FALSE())</f>
        <v>0.1</v>
      </c>
      <c r="G1196" s="2" t="n">
        <f aca="false">ROUND(E1196*F1196,2)</f>
        <v>431.5</v>
      </c>
      <c r="H1196" s="2" t="n">
        <f aca="false">E1196+G1196</f>
        <v>4746.5</v>
      </c>
      <c r="I1196" s="3" t="s">
        <v>22</v>
      </c>
      <c r="J1196" s="0" t="str">
        <f aca="false">_xlfn.XLOOKUP(C1196,Departments!$A$2:$A$6,Departments!$B$2:$B$6,"Unknown")</f>
        <v>Operations</v>
      </c>
    </row>
    <row r="1197" customFormat="false" ht="15" hidden="false" customHeight="false" outlineLevel="0" collapsed="false">
      <c r="A1197" s="0" t="s">
        <v>1224</v>
      </c>
      <c r="B1197" s="4" t="n">
        <v>45759</v>
      </c>
      <c r="C1197" s="0" t="s">
        <v>20</v>
      </c>
      <c r="D1197" s="3" t="s">
        <v>25</v>
      </c>
      <c r="E1197" s="2" t="n">
        <v>4352</v>
      </c>
      <c r="F1197" s="5" t="n">
        <f aca="false">VLOOKUP(D1197,Lookup!$A$2:$B$4,2,FALSE())</f>
        <v>0.15</v>
      </c>
      <c r="G1197" s="2" t="n">
        <f aca="false">ROUND(E1197*F1197,2)</f>
        <v>652.8</v>
      </c>
      <c r="H1197" s="2" t="n">
        <f aca="false">E1197+G1197</f>
        <v>5004.8</v>
      </c>
      <c r="I1197" s="3" t="s">
        <v>22</v>
      </c>
      <c r="J1197" s="0" t="str">
        <f aca="false">_xlfn.XLOOKUP(C1197,Departments!$A$2:$A$6,Departments!$B$2:$B$6,"Unknown")</f>
        <v>Finance</v>
      </c>
    </row>
    <row r="1198" customFormat="false" ht="15" hidden="false" customHeight="false" outlineLevel="0" collapsed="false">
      <c r="A1198" s="0" t="s">
        <v>1225</v>
      </c>
      <c r="B1198" s="4" t="n">
        <v>45760</v>
      </c>
      <c r="C1198" s="0" t="s">
        <v>24</v>
      </c>
      <c r="D1198" s="3" t="s">
        <v>28</v>
      </c>
      <c r="E1198" s="2" t="n">
        <v>4389</v>
      </c>
      <c r="F1198" s="5" t="n">
        <f aca="false">VLOOKUP(D1198,Lookup!$A$2:$B$4,2,FALSE())</f>
        <v>0.05</v>
      </c>
      <c r="G1198" s="2" t="n">
        <f aca="false">ROUND(E1198*F1198,2)</f>
        <v>219.45</v>
      </c>
      <c r="H1198" s="2" t="n">
        <f aca="false">E1198+G1198</f>
        <v>4608.45</v>
      </c>
      <c r="I1198" s="3" t="s">
        <v>35</v>
      </c>
      <c r="J1198" s="0" t="str">
        <f aca="false">_xlfn.XLOOKUP(C1198,Departments!$A$2:$A$6,Departments!$B$2:$B$6,"Unknown")</f>
        <v>Quality</v>
      </c>
    </row>
    <row r="1199" customFormat="false" ht="15" hidden="false" customHeight="false" outlineLevel="0" collapsed="false">
      <c r="A1199" s="0" t="s">
        <v>1226</v>
      </c>
      <c r="B1199" s="4" t="n">
        <v>45761</v>
      </c>
      <c r="C1199" s="0" t="s">
        <v>27</v>
      </c>
      <c r="D1199" s="3" t="s">
        <v>21</v>
      </c>
      <c r="E1199" s="2" t="n">
        <v>4426</v>
      </c>
      <c r="F1199" s="5" t="n">
        <f aca="false">VLOOKUP(D1199,Lookup!$A$2:$B$4,2,FALSE())</f>
        <v>0.1</v>
      </c>
      <c r="G1199" s="2" t="n">
        <f aca="false">ROUND(E1199*F1199,2)</f>
        <v>442.6</v>
      </c>
      <c r="H1199" s="2" t="n">
        <f aca="false">E1199+G1199</f>
        <v>4868.6</v>
      </c>
      <c r="I1199" s="3" t="s">
        <v>22</v>
      </c>
      <c r="J1199" s="0" t="str">
        <f aca="false">_xlfn.XLOOKUP(C1199,Departments!$A$2:$A$6,Departments!$B$2:$B$6,"Unknown")</f>
        <v>Human Resources</v>
      </c>
    </row>
    <row r="1200" customFormat="false" ht="15" hidden="false" customHeight="false" outlineLevel="0" collapsed="false">
      <c r="A1200" s="0" t="s">
        <v>1227</v>
      </c>
      <c r="B1200" s="4" t="n">
        <v>45762</v>
      </c>
      <c r="C1200" s="0" t="s">
        <v>30</v>
      </c>
      <c r="D1200" s="3" t="s">
        <v>25</v>
      </c>
      <c r="E1200" s="2" t="n">
        <v>4463</v>
      </c>
      <c r="F1200" s="5" t="n">
        <f aca="false">VLOOKUP(D1200,Lookup!$A$2:$B$4,2,FALSE())</f>
        <v>0.15</v>
      </c>
      <c r="G1200" s="2" t="n">
        <f aca="false">ROUND(E1200*F1200,2)</f>
        <v>669.45</v>
      </c>
      <c r="H1200" s="2" t="n">
        <f aca="false">E1200+G1200</f>
        <v>5132.45</v>
      </c>
      <c r="I1200" s="3" t="s">
        <v>22</v>
      </c>
      <c r="J1200" s="0" t="str">
        <f aca="false">_xlfn.XLOOKUP(C1200,Departments!$A$2:$A$6,Departments!$B$2:$B$6,"Unknown")</f>
        <v>Technology</v>
      </c>
    </row>
    <row r="1201" customFormat="false" ht="15" hidden="false" customHeight="false" outlineLevel="0" collapsed="false">
      <c r="A1201" s="0" t="s">
        <v>1228</v>
      </c>
      <c r="B1201" s="4" t="n">
        <v>45763</v>
      </c>
      <c r="C1201" s="0" t="s">
        <v>32</v>
      </c>
      <c r="D1201" s="3" t="s">
        <v>28</v>
      </c>
      <c r="E1201" s="2" t="n">
        <v>4500</v>
      </c>
      <c r="F1201" s="5" t="n">
        <f aca="false">VLOOKUP(D1201,Lookup!$A$2:$B$4,2,FALSE())</f>
        <v>0.05</v>
      </c>
      <c r="G1201" s="2" t="n">
        <f aca="false">ROUND(E1201*F1201,2)</f>
        <v>225</v>
      </c>
      <c r="H1201" s="2" t="n">
        <f aca="false">E1201+G1201</f>
        <v>4725</v>
      </c>
      <c r="I1201" s="3" t="s">
        <v>22</v>
      </c>
      <c r="J1201" s="0" t="str">
        <f aca="false">_xlfn.XLOOKUP(C1201,Departments!$A$2:$A$6,Departments!$B$2:$B$6,"Unknown")</f>
        <v>Operations</v>
      </c>
    </row>
  </sheetData>
  <autoFilter ref="A1:J1201"/>
  <conditionalFormatting sqref="H2:H1201">
    <cfRule type="cellIs" priority="2" operator="greaterThan" aboveAverage="0" equalAverage="0" bottom="0" percent="0" rank="0" text="" dxfId="5">
      <formula>3000</formula>
    </cfRule>
  </conditionalFormatting>
  <conditionalFormatting sqref="I2:I1201">
    <cfRule type="expression" priority="3" aboveAverage="0" equalAverage="0" bottom="0" percent="0" rank="0" text="" dxfId="6">
      <formula>I2="No"</formula>
    </cfRule>
  </conditionalFormatting>
  <dataValidations count="1">
    <dataValidation allowBlank="false" errorStyle="stop" operator="between" showDropDown="false" showErrorMessage="false" showInputMessage="false" sqref="D2:D1201" type="list">
      <formula1>"Services,Supplies,Capital"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1229</v>
      </c>
      <c r="B1" s="0" t="s">
        <v>1230</v>
      </c>
    </row>
    <row r="2" customFormat="false" ht="15" hidden="false" customHeight="false" outlineLevel="0" collapsed="false">
      <c r="A2" s="0" t="s">
        <v>32</v>
      </c>
      <c r="B2" s="0" t="s">
        <v>1231</v>
      </c>
    </row>
    <row r="3" customFormat="false" ht="15" hidden="false" customHeight="false" outlineLevel="0" collapsed="false">
      <c r="A3" s="0" t="s">
        <v>20</v>
      </c>
      <c r="B3" s="0" t="s">
        <v>1232</v>
      </c>
    </row>
    <row r="4" customFormat="false" ht="15" hidden="false" customHeight="false" outlineLevel="0" collapsed="false">
      <c r="A4" s="0" t="s">
        <v>24</v>
      </c>
      <c r="B4" s="0" t="s">
        <v>1233</v>
      </c>
    </row>
    <row r="5" customFormat="false" ht="15" hidden="false" customHeight="false" outlineLevel="0" collapsed="false">
      <c r="A5" s="0" t="s">
        <v>27</v>
      </c>
      <c r="B5" s="0" t="s">
        <v>1234</v>
      </c>
    </row>
    <row r="6" customFormat="false" ht="15" hidden="false" customHeight="false" outlineLevel="0" collapsed="false">
      <c r="A6" s="0" t="s">
        <v>30</v>
      </c>
      <c r="B6" s="0" t="s">
        <v>1235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12</v>
      </c>
      <c r="B1" s="0" t="s">
        <v>14</v>
      </c>
    </row>
    <row r="2" customFormat="false" ht="15" hidden="false" customHeight="false" outlineLevel="0" collapsed="false">
      <c r="A2" s="0" t="s">
        <v>28</v>
      </c>
      <c r="B2" s="0" t="n">
        <v>0.05</v>
      </c>
    </row>
    <row r="3" customFormat="false" ht="15" hidden="false" customHeight="false" outlineLevel="0" collapsed="false">
      <c r="A3" s="0" t="s">
        <v>21</v>
      </c>
      <c r="B3" s="0" t="n">
        <v>0.1</v>
      </c>
    </row>
    <row r="4" customFormat="false" ht="15" hidden="false" customHeight="false" outlineLevel="0" collapsed="false">
      <c r="A4" s="0" t="s">
        <v>25</v>
      </c>
      <c r="B4" s="0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1236</v>
      </c>
    </row>
    <row r="2" customFormat="false" ht="15" hidden="false" customHeight="false" outlineLevel="0" collapsed="false">
      <c r="A2" s="0" t="s">
        <v>1237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3" t="s">
        <v>1238</v>
      </c>
    </row>
    <row r="3" customFormat="false" ht="12.8" hidden="false" customHeight="false" outlineLevel="0" collapsed="false">
      <c r="A3" s="6" t="s">
        <v>1239</v>
      </c>
      <c r="B3" s="7" t="s">
        <v>11</v>
      </c>
      <c r="C3" s="8"/>
      <c r="D3" s="8"/>
      <c r="E3" s="8"/>
      <c r="F3" s="8"/>
      <c r="G3" s="9"/>
    </row>
    <row r="4" customFormat="false" ht="12.8" hidden="false" customHeight="false" outlineLevel="0" collapsed="false">
      <c r="A4" s="10" t="s">
        <v>12</v>
      </c>
      <c r="B4" s="11" t="s">
        <v>20</v>
      </c>
      <c r="C4" s="12" t="s">
        <v>27</v>
      </c>
      <c r="D4" s="12" t="s">
        <v>30</v>
      </c>
      <c r="E4" s="12" t="s">
        <v>32</v>
      </c>
      <c r="F4" s="12" t="s">
        <v>24</v>
      </c>
      <c r="G4" s="13" t="s">
        <v>1240</v>
      </c>
    </row>
    <row r="5" customFormat="false" ht="12.8" hidden="false" customHeight="false" outlineLevel="0" collapsed="false">
      <c r="A5" s="14" t="s">
        <v>25</v>
      </c>
      <c r="B5" s="15" t="n">
        <v>214360</v>
      </c>
      <c r="C5" s="16" t="n">
        <v>205480</v>
      </c>
      <c r="D5" s="16" t="n">
        <v>223240</v>
      </c>
      <c r="E5" s="16" t="n">
        <v>196600</v>
      </c>
      <c r="F5" s="17" t="n">
        <v>187720</v>
      </c>
      <c r="G5" s="18" t="n">
        <v>1027400</v>
      </c>
    </row>
    <row r="6" customFormat="false" ht="12.8" hidden="false" customHeight="false" outlineLevel="0" collapsed="false">
      <c r="A6" s="19" t="s">
        <v>28</v>
      </c>
      <c r="B6" s="20" t="n">
        <v>199560</v>
      </c>
      <c r="C6" s="21" t="n">
        <v>190680</v>
      </c>
      <c r="D6" s="21" t="n">
        <v>208440</v>
      </c>
      <c r="E6" s="21" t="n">
        <v>226200</v>
      </c>
      <c r="F6" s="22" t="n">
        <v>217320</v>
      </c>
      <c r="G6" s="23" t="n">
        <v>1042200</v>
      </c>
    </row>
    <row r="7" customFormat="false" ht="12.8" hidden="false" customHeight="false" outlineLevel="0" collapsed="false">
      <c r="A7" s="19" t="s">
        <v>21</v>
      </c>
      <c r="B7" s="24" t="n">
        <v>189760</v>
      </c>
      <c r="C7" s="25" t="n">
        <v>220280</v>
      </c>
      <c r="D7" s="25" t="n">
        <v>193640</v>
      </c>
      <c r="E7" s="25" t="n">
        <v>211400</v>
      </c>
      <c r="F7" s="26" t="n">
        <v>202520</v>
      </c>
      <c r="G7" s="27" t="n">
        <v>1017600</v>
      </c>
    </row>
    <row r="8" customFormat="false" ht="12.8" hidden="false" customHeight="false" outlineLevel="0" collapsed="false">
      <c r="A8" s="28" t="s">
        <v>1240</v>
      </c>
      <c r="B8" s="29" t="n">
        <v>603680</v>
      </c>
      <c r="C8" s="30" t="n">
        <v>616440</v>
      </c>
      <c r="D8" s="30" t="n">
        <v>625320</v>
      </c>
      <c r="E8" s="30" t="n">
        <v>634200</v>
      </c>
      <c r="F8" s="31" t="n">
        <v>607560</v>
      </c>
      <c r="G8" s="32" t="n">
        <v>3087200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2026-08-31T13:17:07Z</dcterms:created>
  <dc:creator>openpyxl</dc:creator>
  <dc:description/>
  <dc:language>en-US</dc:language>
  <cp:lastModifiedBy/>
  <dcterms:modified xsi:type="dcterms:W3CDTF">2026-08-31T13:17:09Z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